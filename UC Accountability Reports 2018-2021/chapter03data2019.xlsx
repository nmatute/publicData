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prayag\Downloads\"/>
    </mc:Choice>
  </mc:AlternateContent>
  <bookViews>
    <workbookView xWindow="0" yWindow="0" windowWidth="28800" windowHeight="13485" tabRatio="938"/>
  </bookViews>
  <sheets>
    <sheet name="Chapter 3" sheetId="19" r:id="rId1"/>
    <sheet name="3.1.1" sheetId="21" r:id="rId2"/>
    <sheet name="3.1.2" sheetId="22" r:id="rId3"/>
    <sheet name="3.1.3" sheetId="23" r:id="rId4"/>
    <sheet name="3.1.4" sheetId="24" r:id="rId5"/>
    <sheet name="3.1.5" sheetId="25" r:id="rId6"/>
    <sheet name="3.1.6" sheetId="26" r:id="rId7"/>
    <sheet name="3.1.7" sheetId="27" r:id="rId8"/>
    <sheet name="3.1.8" sheetId="28" r:id="rId9"/>
    <sheet name="3.2.1" sheetId="29" r:id="rId10"/>
    <sheet name="3.2.2" sheetId="30" r:id="rId11"/>
    <sheet name="3.3.1" sheetId="32" r:id="rId12"/>
    <sheet name="3.3.2" sheetId="37" r:id="rId13"/>
    <sheet name="3.3.3" sheetId="38" r:id="rId14"/>
    <sheet name="3.3.4" sheetId="35" r:id="rId15"/>
  </sheets>
  <definedNames>
    <definedName name="hsgpadata" localSheetId="2">#REF!</definedName>
    <definedName name="hsgpadata" localSheetId="3">#REF!</definedName>
    <definedName name="hsgpadata" localSheetId="10">#REF!</definedName>
    <definedName name="hsgpadata" localSheetId="11">#REF!</definedName>
    <definedName name="hsgpadata">#REF!</definedName>
    <definedName name="transferdata" localSheetId="2">#REF!</definedName>
    <definedName name="transferdata" localSheetId="3">#REF!</definedName>
    <definedName name="transferdata" localSheetId="10">#REF!</definedName>
    <definedName name="transferdata" localSheetId="11">#REF!</definedName>
    <definedName name="transferdata">#REF!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3" i="24" l="1"/>
  <c r="B42" i="24"/>
  <c r="B40" i="24"/>
  <c r="B37" i="24"/>
  <c r="B36" i="24"/>
  <c r="B34" i="24"/>
  <c r="B31" i="24"/>
  <c r="B30" i="24"/>
  <c r="B28" i="24"/>
</calcChain>
</file>

<file path=xl/sharedStrings.xml><?xml version="1.0" encoding="utf-8"?>
<sst xmlns="http://schemas.openxmlformats.org/spreadsheetml/2006/main" count="445" uniqueCount="206">
  <si>
    <t>Chapter 3: Undergraduate Student Success</t>
  </si>
  <si>
    <t>3.1: GRADUATION RATES</t>
  </si>
  <si>
    <t>3.1.1 Freshman graduation rates, UC and comparison institutions</t>
  </si>
  <si>
    <t>3.1.2 Freshman graduation rates, including those who graduated from a non-UC institution</t>
  </si>
  <si>
    <t>3.1.3 Transfer graduation rates</t>
  </si>
  <si>
    <t>3.1.4 Freshman graduation rates by race/ethnicity</t>
  </si>
  <si>
    <t>3.1.5 Transfer graduation rates by race/ethnicity</t>
  </si>
  <si>
    <t>3.1.6 Freshman graduation rates by Pell Grant receipt status</t>
  </si>
  <si>
    <t>3.1.7 Transfer graduation rates by Pell Grant receipt status</t>
  </si>
  <si>
    <t>3.1.8 Average time to degree</t>
  </si>
  <si>
    <t>3.2 RETENTION RATES AND STUDENT CREDIT HOURS</t>
  </si>
  <si>
    <t>3.2.1 Freshman first-year retention rates, UC and comparison institutions</t>
  </si>
  <si>
    <t>3.2.2 Transfer retention rates, Universitywide and by campus</t>
  </si>
  <si>
    <t>3.3 OUTCOMES</t>
  </si>
  <si>
    <t>3.3.1 Undergraduate degrees awarded by discipline, UC and comparison institutions</t>
  </si>
  <si>
    <t>Click on an indicator link or its associated tab below to see the table, source and notes.</t>
  </si>
  <si>
    <t>Institution</t>
  </si>
  <si>
    <t>Entering Cohort Year</t>
  </si>
  <si>
    <t>Graduate in 4 years</t>
  </si>
  <si>
    <t>Graduate in 5 years</t>
  </si>
  <si>
    <t>Graduate in 6 years</t>
  </si>
  <si>
    <t>AAU 
Private</t>
  </si>
  <si>
    <t>AAU 
Public</t>
  </si>
  <si>
    <t>UC</t>
  </si>
  <si>
    <t xml:space="preserve"> </t>
  </si>
  <si>
    <t>Berkeley</t>
  </si>
  <si>
    <t>Davis</t>
  </si>
  <si>
    <t>Irvine</t>
  </si>
  <si>
    <t>Los Angeles</t>
  </si>
  <si>
    <t>Merced</t>
  </si>
  <si>
    <t>Riverside</t>
  </si>
  <si>
    <t>San Diego</t>
  </si>
  <si>
    <t>Santa 
Barbara</t>
  </si>
  <si>
    <t>Santa 
Cruz</t>
  </si>
  <si>
    <t>Source: UC Corporate Student System and IPEDS</t>
  </si>
  <si>
    <t>Notes: Comparison IPEDS data are available for more limited years. The AAU comparison institutions are in the data glossary. Graduation rates are weighted by total cohort size. Institutions with missing data are excluded for that year. Freshmen are those students who entered UC directly from high school and who had not matriculated at another institution prior to enrollment. UC statistics give credit to the originating campus for inter-UC campus transfers. Merced opened in 2005.</t>
  </si>
  <si>
    <t>2012 Entering Cohort</t>
  </si>
  <si>
    <t>Campus</t>
  </si>
  <si>
    <t>Time to Graduation</t>
  </si>
  <si>
    <t>UC Graduation Rate</t>
  </si>
  <si>
    <t>Non-UC Graduation Rate</t>
  </si>
  <si>
    <t>4-Yr</t>
  </si>
  <si>
    <t>5-Yr</t>
  </si>
  <si>
    <t>6-Yr</t>
  </si>
  <si>
    <t>UCLA</t>
  </si>
  <si>
    <t>Santa Barbara</t>
  </si>
  <si>
    <t>Santa Cruz</t>
  </si>
  <si>
    <t>Source: UCOP Corporate Student System and the National Student Clearinghouse</t>
  </si>
  <si>
    <t>Notes: Intercampus transfers within UC are coutned as graduates of their originating UC campus. In these data, non-UC rates only include those who transferred to non-UC institutions and graduated with a bachelor's degree.</t>
  </si>
  <si>
    <t>Graduate in 2 years</t>
  </si>
  <si>
    <t>Graduate in 3 years</t>
  </si>
  <si>
    <t>Source: UC Corporate Student System</t>
  </si>
  <si>
    <t>Race/Ethnicity</t>
  </si>
  <si>
    <t>Cohort</t>
  </si>
  <si>
    <t>4 yr</t>
  </si>
  <si>
    <t>5 yr</t>
  </si>
  <si>
    <t>6 yr</t>
  </si>
  <si>
    <t xml:space="preserve">Systemwide  </t>
  </si>
  <si>
    <t>African American</t>
  </si>
  <si>
    <t>American Indian</t>
  </si>
  <si>
    <t>Hispanic/
Latino(a)</t>
  </si>
  <si>
    <t>Asian/
Pacific Islander</t>
  </si>
  <si>
    <t>White</t>
  </si>
  <si>
    <t>System</t>
  </si>
  <si>
    <t>Years to Graduate</t>
  </si>
  <si>
    <t>Entering cohort year</t>
  </si>
  <si>
    <t>2 yr</t>
  </si>
  <si>
    <t>3 yr</t>
  </si>
  <si>
    <t xml:space="preserve">Systemwide data </t>
  </si>
  <si>
    <t>Pell Status</t>
  </si>
  <si>
    <t>Systemwide</t>
  </si>
  <si>
    <t>Pell</t>
  </si>
  <si>
    <t>Non-Pell</t>
  </si>
  <si>
    <t xml:space="preserve">Notes: Pell Grant recipients are defined as those who received a Pell Grant at any time during their time at UC. </t>
  </si>
  <si>
    <t xml:space="preserve">3.1.8 Average time to degree </t>
  </si>
  <si>
    <t>Average Years to Degree</t>
  </si>
  <si>
    <t>Freshman</t>
  </si>
  <si>
    <t xml:space="preserve">Transfer students </t>
  </si>
  <si>
    <t>Universitywide</t>
  </si>
  <si>
    <t xml:space="preserve">Notes: Average time to graduation includes only students who graduated from UC within seven years. Data is presented for the fall of 2011 cohort. </t>
  </si>
  <si>
    <t>AAU Private</t>
  </si>
  <si>
    <t xml:space="preserve">Non-UC AAU Public </t>
  </si>
  <si>
    <t>Fall 2017 Transfers</t>
  </si>
  <si>
    <t>Year</t>
  </si>
  <si>
    <t>Arts and Hum</t>
  </si>
  <si>
    <t>Soc Sci</t>
  </si>
  <si>
    <t>Life Sci</t>
  </si>
  <si>
    <t>Engr and CS</t>
  </si>
  <si>
    <t>Phys Sci</t>
  </si>
  <si>
    <t>Business</t>
  </si>
  <si>
    <t>Other</t>
  </si>
  <si>
    <t>2000-01</t>
  </si>
  <si>
    <t>AAU private (26)</t>
  </si>
  <si>
    <t>Non-UC AAU pub (28)</t>
  </si>
  <si>
    <t>Arts &amp; Humanities</t>
  </si>
  <si>
    <t>Life Sciences</t>
  </si>
  <si>
    <t>Physical Sciences</t>
  </si>
  <si>
    <t>Social Sciences</t>
  </si>
  <si>
    <t>After two years</t>
  </si>
  <si>
    <t>After five years</t>
  </si>
  <si>
    <t>After ten years</t>
  </si>
  <si>
    <t>Discipline</t>
  </si>
  <si>
    <t>Major</t>
  </si>
  <si>
    <t>Mean</t>
  </si>
  <si>
    <t>Median</t>
  </si>
  <si>
    <t>Arts</t>
  </si>
  <si>
    <t>&amp; Humanities</t>
  </si>
  <si>
    <t>English/Literature</t>
  </si>
  <si>
    <t>Foreign Language</t>
  </si>
  <si>
    <t>History</t>
  </si>
  <si>
    <t>Other Humanities</t>
  </si>
  <si>
    <t>Philosophy</t>
  </si>
  <si>
    <t>Professional</t>
  </si>
  <si>
    <t>Nursing</t>
  </si>
  <si>
    <t xml:space="preserve">                              </t>
  </si>
  <si>
    <t>Agriculture</t>
  </si>
  <si>
    <t>Architecture</t>
  </si>
  <si>
    <t>STEM</t>
  </si>
  <si>
    <t>Computer Science</t>
  </si>
  <si>
    <t>Engineering</t>
  </si>
  <si>
    <t>Physics</t>
  </si>
  <si>
    <t>Biology</t>
  </si>
  <si>
    <t>Chemistry</t>
  </si>
  <si>
    <t>Mathematics</t>
  </si>
  <si>
    <t>Economics</t>
  </si>
  <si>
    <t>Political Science</t>
  </si>
  <si>
    <t>Geography</t>
  </si>
  <si>
    <t>Psychology</t>
  </si>
  <si>
    <t>Anthropology</t>
  </si>
  <si>
    <t>Sociology</t>
  </si>
  <si>
    <t>All Majors</t>
  </si>
  <si>
    <t xml:space="preserve">Source: California Employment Development Department and UC Corporate Student System. </t>
  </si>
  <si>
    <t>Engineering &amp; Comp Sci</t>
  </si>
  <si>
    <t>Public Admin</t>
  </si>
  <si>
    <t>Public Health</t>
  </si>
  <si>
    <t>Manufacturing</t>
  </si>
  <si>
    <t>K-12 Education</t>
  </si>
  <si>
    <t>3.3.2 Inflation-adjusted average and median alumni wages by selected majors</t>
  </si>
  <si>
    <t>3.3.4 Undergraduate alumni graduate degree attainment by campus</t>
  </si>
  <si>
    <t>3.3.2 Inflation-adjusted average alumni wages by selected majors</t>
  </si>
  <si>
    <t>Note: Amounts are inflation-adjusted to 2017 dollars.</t>
  </si>
  <si>
    <t>3.3.3 Median alumni wages by industry of work for selected majors</t>
  </si>
  <si>
    <t>Interdisciplinary</t>
  </si>
  <si>
    <t>Industry of work</t>
  </si>
  <si>
    <t>% of major working in industry</t>
  </si>
  <si>
    <t>Median annual earnings</t>
  </si>
  <si>
    <t>Internet &amp; computer systems</t>
  </si>
  <si>
    <t>Legal services</t>
  </si>
  <si>
    <t>Public administration</t>
  </si>
  <si>
    <t>Finance &amp; insurance</t>
  </si>
  <si>
    <t>Business services</t>
  </si>
  <si>
    <t>Engineering services</t>
  </si>
  <si>
    <t>Performing arts, entertainment &amp; media</t>
  </si>
  <si>
    <t>Health care</t>
  </si>
  <si>
    <t>Retail &amp; wholesale trade</t>
  </si>
  <si>
    <t>Higher education</t>
  </si>
  <si>
    <t>Social assistance</t>
  </si>
  <si>
    <t>Accommodation &amp; recreation</t>
  </si>
  <si>
    <t>Other industries (Not shown)</t>
  </si>
  <si>
    <t>Source: California Employment Development Department and UC Corporate Student System</t>
  </si>
  <si>
    <t>Source: UC Data Warehouse</t>
  </si>
  <si>
    <t>Notes: Comparison data on graduation rates for transfer students are not available. UC statistics give credit to the originating campus for inter-UC campus transfer.</t>
  </si>
  <si>
    <t>Sources: UC Data Warehouse and IPEDS. Rates for American Indian students are not shown by campus due to small numbers of students.</t>
  </si>
  <si>
    <t>2011 Cohort IPEDS Comparisons</t>
  </si>
  <si>
    <t>Amer Indian</t>
  </si>
  <si>
    <t>"AAU Publics"</t>
  </si>
  <si>
    <t>"AAU Privates"</t>
  </si>
  <si>
    <t>Source: UC Data Warehouse.</t>
  </si>
  <si>
    <t>Graduate Degree Type (group)</t>
  </si>
  <si>
    <t>San Francisco</t>
  </si>
  <si>
    <t>Grand Total</t>
  </si>
  <si>
    <t>Health Science Prof</t>
  </si>
  <si>
    <t>MBA Business</t>
  </si>
  <si>
    <t>JD Law</t>
  </si>
  <si>
    <t>Doctoral</t>
  </si>
  <si>
    <t>Masters (All Other)</t>
  </si>
  <si>
    <t>Fall 2016 Freshman Retention Rate</t>
  </si>
  <si>
    <t>2016-17</t>
  </si>
  <si>
    <t>AAU private (27)</t>
  </si>
  <si>
    <t>Merced–N/A</t>
  </si>
  <si>
    <t>AAU private (26) (42,024)</t>
  </si>
  <si>
    <t>AAU private (27) (53,397)</t>
  </si>
  <si>
    <t>Non-UC AAU pub (28) (141,544)</t>
  </si>
  <si>
    <t>Non-UC AAU pub (28) (193,734)</t>
  </si>
  <si>
    <t>Universitywide (32,974)</t>
  </si>
  <si>
    <t>Universitywide (53,717)</t>
  </si>
  <si>
    <t>Berkeley (5,798)</t>
  </si>
  <si>
    <t>Berkeley (7,906)</t>
  </si>
  <si>
    <t>Davis (4,606)</t>
  </si>
  <si>
    <t>Davis (7,855)</t>
  </si>
  <si>
    <t>Irvine (3,459)</t>
  </si>
  <si>
    <t>Irvine (7,148)</t>
  </si>
  <si>
    <t>Los Angeles (6,307)</t>
  </si>
  <si>
    <t>Los Angeles (8,471)</t>
  </si>
  <si>
    <t>Merced (1,295)</t>
  </si>
  <si>
    <t>Riverside (1,872)</t>
  </si>
  <si>
    <t>Riverside (4,480)</t>
  </si>
  <si>
    <t>San Diego (3,769)</t>
  </si>
  <si>
    <t>San Diego (7,207)</t>
  </si>
  <si>
    <t>Santa Barbara (4,629)</t>
  </si>
  <si>
    <t>Santa Barbara (5,373)</t>
  </si>
  <si>
    <t>Santa Cruz (2,513)</t>
  </si>
  <si>
    <t>Santa Cruz (3,982)</t>
  </si>
  <si>
    <t>3.2.1 First-year retention rates, UC systemwide</t>
  </si>
  <si>
    <t>Transfer</t>
  </si>
  <si>
    <t>3.2.2 Freshman and Transfer retention rates, Universitywide and by campus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</si>
</sst>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164" formatCode="0.0"/>
    <numFmt numFmtId="165" formatCode="0\%"/>
    <numFmt numFmtId="166" formatCode="0.0%"/>
    <numFmt numFmtId="167" formatCode="0.00\%"/>
    <numFmt numFmtId="168" formatCode="&quot;$&quot;#,##0"/>
  </numFmts>
  <fonts count="18" x14ac:knownFonts="1">
    <font>
      <sz val="11"/>
      <color theme="1"/>
      <name val="Calibri"/>
      <family val="2"/>
      <scheme val="minor"/>
    </font>
    <font>
      <sz val="10"/>
      <name val="Arial"/>
      <family val="2"/>
    </font>
    <font>
      <sz val="10"/>
      <name val="MS Sans Serif"/>
      <family val="2"/>
    </font>
    <font>
      <u/>
      <sz val="11"/>
      <color theme="10"/>
      <name val="Calibri"/>
      <family val="2"/>
      <scheme val="minor"/>
    </font>
    <font>
      <b/>
      <sz val="11"/>
      <color theme="1"/>
      <name val="Calibri"/>
      <family val="2"/>
      <scheme val="minor"/>
    </font>
    <font>
      <b/>
      <sz val="10"/>
      <color theme="1"/>
      <name val="Arial"/>
      <family val="2"/>
    </font>
    <font>
      <sz val="11"/>
      <color rgb="FF0070C0"/>
      <name val="Calibri"/>
      <family val="2"/>
      <scheme val="minor"/>
    </font>
    <font>
      <sz val="11"/>
      <name val="Calibri"/>
      <family val="2"/>
      <scheme val="minor"/>
    </font>
    <font>
      <sz val="14"/>
      <color theme="1"/>
      <name val="Calibri"/>
      <family val="2"/>
      <scheme val="minor"/>
    </font>
    <font>
      <u/>
      <sz val="11"/>
      <color rgb="FF0070C0"/>
      <name val="Calibri"/>
      <family val="2"/>
      <scheme val="minor"/>
    </font>
    <font>
      <sz val="11"/>
      <color theme="1"/>
      <name val="Calibri"/>
      <family val="2"/>
      <scheme val="minor"/>
    </font>
    <font>
      <sz val="10"/>
      <color theme="1"/>
      <name val="Arial"/>
      <family val="2"/>
    </font>
    <font>
      <sz val="11"/>
      <color theme="1"/>
      <name val="Arial"/>
      <family val="2"/>
    </font>
    <font>
      <sz val="10"/>
      <color rgb="FF000000"/>
      <name val="Arial"/>
      <family val="2"/>
    </font>
    <font>
      <sz val="11"/>
      <color rgb="FFC00000"/>
      <name val="Calibri"/>
      <family val="2"/>
      <scheme val="minor"/>
    </font>
    <font>
      <b/>
      <sz val="11"/>
      <name val="Calibri"/>
      <family val="2"/>
      <scheme val="minor"/>
    </font>
    <font>
      <sz val="11"/>
      <color indexed="8"/>
      <name val="Calibri"/>
      <family val="2"/>
      <scheme val="minor"/>
    </font>
    <font>
      <b/>
      <sz val="11"/>
      <color theme="1"/>
      <name val="Arial"/>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79998168889431442"/>
        <bgColor indexed="64"/>
      </patternFill>
    </fill>
  </fills>
  <borders count="4">
    <border>
      <left/>
      <right/>
      <top/>
      <bottom/>
      <diagonal/>
    </border>
    <border>
      <left/>
      <right/>
      <top/>
      <bottom style="thin">
        <color theme="4" tint="0.39997558519241921"/>
      </bottom>
      <diagonal/>
    </border>
    <border>
      <left style="thin">
        <color rgb="FFC1C1C1"/>
      </left>
      <right style="medium">
        <color rgb="FF000000"/>
      </right>
      <top style="thin">
        <color rgb="FFC1C1C1"/>
      </top>
      <bottom style="thin">
        <color rgb="FFC1C1C1"/>
      </bottom>
      <diagonal/>
    </border>
    <border>
      <left style="thin">
        <color rgb="FFC1C1C1"/>
      </left>
      <right style="medium">
        <color rgb="FF000000"/>
      </right>
      <top style="thin">
        <color rgb="FFC1C1C1"/>
      </top>
      <bottom style="medium">
        <color rgb="FF000000"/>
      </bottom>
      <diagonal/>
    </border>
  </borders>
  <cellStyleXfs count="14">
    <xf numFmtId="0" fontId="0" fillId="0" borderId="0"/>
    <xf numFmtId="0" fontId="3" fillId="0" borderId="0" applyNumberFormat="0" applyFill="0" applyBorder="0" applyAlignment="0" applyProtection="0"/>
    <xf numFmtId="0" fontId="1" fillId="0" borderId="0"/>
    <xf numFmtId="0" fontId="2" fillId="0" borderId="0"/>
    <xf numFmtId="0" fontId="1" fillId="0" borderId="0"/>
    <xf numFmtId="0" fontId="1" fillId="0" borderId="0"/>
    <xf numFmtId="9" fontId="1" fillId="0" borderId="0" applyFont="0" applyFill="0" applyBorder="0" applyAlignment="0" applyProtection="0"/>
    <xf numFmtId="0" fontId="2" fillId="0" borderId="0"/>
    <xf numFmtId="0" fontId="2" fillId="0" borderId="0"/>
    <xf numFmtId="0" fontId="10" fillId="0" borderId="0"/>
    <xf numFmtId="9" fontId="2" fillId="0" borderId="0" applyFont="0" applyFill="0" applyBorder="0" applyAlignment="0" applyProtection="0"/>
    <xf numFmtId="9" fontId="2" fillId="0" borderId="0" applyFont="0" applyFill="0" applyBorder="0" applyAlignment="0" applyProtection="0"/>
    <xf numFmtId="0" fontId="16" fillId="0" borderId="0"/>
    <xf numFmtId="9" fontId="10" fillId="0" borderId="0" applyFont="0" applyFill="0" applyBorder="0" applyAlignment="0" applyProtection="0"/>
  </cellStyleXfs>
  <cellXfs count="93">
    <xf numFmtId="0" fontId="0" fillId="0" borderId="0" xfId="0"/>
    <xf numFmtId="0" fontId="0" fillId="0" borderId="0" xfId="0"/>
    <xf numFmtId="49" fontId="6" fillId="0" borderId="0" xfId="0" applyNumberFormat="1" applyFont="1"/>
    <xf numFmtId="0" fontId="5" fillId="0" borderId="0" xfId="0" applyFont="1" applyFill="1" applyBorder="1"/>
    <xf numFmtId="0" fontId="0" fillId="0" borderId="0" xfId="0" applyFill="1" applyBorder="1"/>
    <xf numFmtId="0" fontId="0" fillId="0" borderId="0" xfId="0" applyNumberFormat="1" applyFill="1" applyBorder="1"/>
    <xf numFmtId="0" fontId="4" fillId="0" borderId="0" xfId="0" applyFont="1" applyFill="1" applyBorder="1"/>
    <xf numFmtId="0" fontId="11" fillId="0" borderId="0" xfId="0" applyFont="1" applyFill="1" applyBorder="1"/>
    <xf numFmtId="10" fontId="0" fillId="0" borderId="0" xfId="0" applyNumberFormat="1" applyFill="1" applyBorder="1"/>
    <xf numFmtId="9" fontId="0" fillId="0" borderId="0" xfId="0" applyNumberFormat="1" applyFill="1" applyBorder="1"/>
    <xf numFmtId="0" fontId="0" fillId="0" borderId="0" xfId="0" applyFont="1" applyFill="1" applyBorder="1"/>
    <xf numFmtId="0" fontId="11" fillId="2" borderId="0" xfId="0" applyFont="1" applyFill="1" applyBorder="1" applyAlignment="1">
      <alignment horizontal="center" vertical="center" wrapText="1"/>
    </xf>
    <xf numFmtId="10" fontId="5" fillId="0" borderId="0" xfId="0" applyNumberFormat="1" applyFont="1" applyFill="1" applyBorder="1"/>
    <xf numFmtId="10" fontId="5" fillId="2" borderId="0" xfId="0" applyNumberFormat="1" applyFont="1" applyFill="1" applyBorder="1" applyAlignment="1">
      <alignment horizontal="center" vertical="center" wrapText="1"/>
    </xf>
    <xf numFmtId="9" fontId="5" fillId="0" borderId="0" xfId="0" applyNumberFormat="1" applyFont="1" applyFill="1" applyBorder="1"/>
    <xf numFmtId="9" fontId="5" fillId="2" borderId="0" xfId="0" applyNumberFormat="1" applyFont="1" applyFill="1" applyBorder="1" applyAlignment="1">
      <alignment horizontal="center" vertical="center" wrapText="1"/>
    </xf>
    <xf numFmtId="0" fontId="5" fillId="2" borderId="0" xfId="0" applyFont="1" applyFill="1" applyBorder="1" applyAlignment="1">
      <alignment horizontal="center" wrapText="1"/>
    </xf>
    <xf numFmtId="164" fontId="0" fillId="0" borderId="0" xfId="0" applyNumberFormat="1" applyFill="1" applyBorder="1"/>
    <xf numFmtId="164" fontId="5" fillId="2" borderId="0" xfId="0" applyNumberFormat="1" applyFont="1" applyFill="1" applyBorder="1" applyAlignment="1">
      <alignment horizontal="center" wrapText="1"/>
    </xf>
    <xf numFmtId="0" fontId="12" fillId="0" borderId="0" xfId="0" applyFont="1" applyFill="1" applyBorder="1"/>
    <xf numFmtId="9" fontId="0" fillId="0" borderId="0" xfId="0" applyNumberFormat="1"/>
    <xf numFmtId="164" fontId="5" fillId="2" borderId="0" xfId="0" applyNumberFormat="1" applyFont="1" applyFill="1" applyBorder="1" applyAlignment="1">
      <alignment horizontal="center" vertical="center" wrapText="1"/>
    </xf>
    <xf numFmtId="165" fontId="0" fillId="0" borderId="0" xfId="0" applyNumberFormat="1"/>
    <xf numFmtId="165" fontId="0" fillId="0" borderId="0" xfId="11" applyNumberFormat="1" applyFont="1" applyFill="1"/>
    <xf numFmtId="165" fontId="14" fillId="0" borderId="0" xfId="0" applyNumberFormat="1" applyFont="1"/>
    <xf numFmtId="165" fontId="0" fillId="0" borderId="0" xfId="11" applyNumberFormat="1" applyFont="1"/>
    <xf numFmtId="0" fontId="0" fillId="0" borderId="0" xfId="0" applyAlignment="1">
      <alignment vertical="top"/>
    </xf>
    <xf numFmtId="166" fontId="0" fillId="0" borderId="0" xfId="0" applyNumberFormat="1"/>
    <xf numFmtId="0" fontId="0" fillId="0" borderId="0" xfId="0" applyAlignment="1">
      <alignment wrapText="1"/>
    </xf>
    <xf numFmtId="0" fontId="0" fillId="0" borderId="0" xfId="0" quotePrefix="1"/>
    <xf numFmtId="0" fontId="5" fillId="3" borderId="0" xfId="0" applyFont="1" applyFill="1" applyBorder="1"/>
    <xf numFmtId="0" fontId="4" fillId="3" borderId="0" xfId="0" applyFont="1" applyFill="1" applyBorder="1"/>
    <xf numFmtId="0" fontId="11" fillId="0" borderId="0" xfId="0" applyFont="1" applyFill="1" applyBorder="1" applyAlignment="1"/>
    <xf numFmtId="0" fontId="0" fillId="0" borderId="0" xfId="0" applyNumberFormat="1" applyAlignment="1">
      <alignment horizontal="left" vertical="top"/>
    </xf>
    <xf numFmtId="0" fontId="4" fillId="0" borderId="0" xfId="0" applyFont="1" applyAlignment="1">
      <alignment horizontal="left"/>
    </xf>
    <xf numFmtId="0" fontId="4" fillId="0" borderId="0" xfId="0" applyFont="1"/>
    <xf numFmtId="0" fontId="4" fillId="0" borderId="0" xfId="0" applyFont="1" applyBorder="1"/>
    <xf numFmtId="0" fontId="4" fillId="2" borderId="1" xfId="0" applyFont="1" applyFill="1" applyBorder="1"/>
    <xf numFmtId="164" fontId="11" fillId="0" borderId="0" xfId="0" applyNumberFormat="1" applyFont="1"/>
    <xf numFmtId="164" fontId="13" fillId="0" borderId="0" xfId="0" applyNumberFormat="1" applyFont="1" applyAlignment="1">
      <alignment horizontal="right" wrapText="1"/>
    </xf>
    <xf numFmtId="6" fontId="0" fillId="0" borderId="0" xfId="0" applyNumberFormat="1" applyFill="1" applyBorder="1"/>
    <xf numFmtId="0" fontId="4" fillId="0" borderId="0" xfId="0" applyNumberFormat="1" applyFont="1" applyFill="1" applyBorder="1"/>
    <xf numFmtId="0" fontId="5" fillId="2" borderId="0" xfId="0" applyFont="1" applyFill="1" applyBorder="1" applyAlignment="1">
      <alignment horizontal="left" vertical="center" wrapText="1"/>
    </xf>
    <xf numFmtId="6" fontId="4" fillId="0" borderId="0" xfId="0" applyNumberFormat="1" applyFont="1" applyFill="1" applyBorder="1"/>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11" fillId="0" borderId="0" xfId="0" applyFont="1" applyFill="1" applyBorder="1" applyAlignment="1">
      <alignment horizontal="left" vertical="center" wrapText="1"/>
    </xf>
    <xf numFmtId="0" fontId="0" fillId="0" borderId="0" xfId="0" applyAlignment="1">
      <alignment horizontal="left" vertical="top"/>
    </xf>
    <xf numFmtId="0" fontId="5" fillId="2" borderId="0" xfId="0" applyFont="1" applyFill="1" applyBorder="1" applyAlignment="1">
      <alignment horizontal="center" vertical="center" wrapText="1"/>
    </xf>
    <xf numFmtId="0" fontId="4" fillId="0" borderId="0" xfId="0" applyFont="1" applyAlignment="1">
      <alignment horizontal="left" vertical="top"/>
    </xf>
    <xf numFmtId="0" fontId="5" fillId="2" borderId="0" xfId="0" applyFont="1" applyFill="1" applyBorder="1" applyAlignment="1">
      <alignment horizontal="center" vertical="center" wrapText="1"/>
    </xf>
    <xf numFmtId="167" fontId="0" fillId="0" borderId="0" xfId="0" applyNumberFormat="1"/>
    <xf numFmtId="168" fontId="16" fillId="0" borderId="0" xfId="12" applyNumberFormat="1"/>
    <xf numFmtId="0" fontId="15" fillId="0" borderId="0" xfId="0" applyFont="1" applyAlignment="1"/>
    <xf numFmtId="0" fontId="7" fillId="0" borderId="0" xfId="0" applyFont="1"/>
    <xf numFmtId="0" fontId="7" fillId="0" borderId="0" xfId="0" quotePrefix="1" applyFont="1" applyBorder="1" applyAlignment="1">
      <alignment horizontal="left" vertical="top"/>
    </xf>
    <xf numFmtId="10" fontId="7" fillId="0" borderId="0" xfId="0" applyNumberFormat="1" applyFont="1" applyBorder="1" applyAlignment="1">
      <alignment vertical="center"/>
    </xf>
    <xf numFmtId="3" fontId="7" fillId="0" borderId="0" xfId="0" applyNumberFormat="1" applyFont="1" applyBorder="1" applyAlignment="1">
      <alignment vertical="center"/>
    </xf>
    <xf numFmtId="0" fontId="15" fillId="4" borderId="0" xfId="0" applyFont="1" applyFill="1" applyBorder="1"/>
    <xf numFmtId="0" fontId="15" fillId="4" borderId="0" xfId="0" quotePrefix="1" applyFont="1" applyFill="1" applyBorder="1" applyAlignment="1">
      <alignment horizontal="left"/>
    </xf>
    <xf numFmtId="0" fontId="15" fillId="4" borderId="0" xfId="0" quotePrefix="1" applyFont="1" applyFill="1" applyBorder="1" applyAlignment="1">
      <alignment horizontal="center" wrapText="1"/>
    </xf>
    <xf numFmtId="9" fontId="0" fillId="0" borderId="0" xfId="13" applyFont="1"/>
    <xf numFmtId="9" fontId="0" fillId="0" borderId="0" xfId="13" applyFont="1" applyFill="1"/>
    <xf numFmtId="0" fontId="0" fillId="0" borderId="0" xfId="0" applyAlignment="1">
      <alignment vertical="center" wrapText="1"/>
    </xf>
    <xf numFmtId="9" fontId="0" fillId="0" borderId="0" xfId="0" applyNumberFormat="1" applyAlignment="1">
      <alignment vertical="center" wrapText="1"/>
    </xf>
    <xf numFmtId="9" fontId="0" fillId="0" borderId="2" xfId="0" applyNumberFormat="1" applyBorder="1" applyAlignment="1">
      <alignment vertical="top" wrapText="1"/>
    </xf>
    <xf numFmtId="9" fontId="0" fillId="0" borderId="3" xfId="0" applyNumberFormat="1" applyBorder="1" applyAlignment="1">
      <alignment vertical="top" wrapText="1"/>
    </xf>
    <xf numFmtId="0" fontId="17" fillId="0" borderId="0" xfId="0" applyFont="1" applyFill="1" applyBorder="1"/>
    <xf numFmtId="0" fontId="17" fillId="0" borderId="0" xfId="0" applyNumberFormat="1" applyFont="1" applyFill="1" applyBorder="1"/>
    <xf numFmtId="0" fontId="1" fillId="0" borderId="0" xfId="8" applyFont="1" applyBorder="1"/>
    <xf numFmtId="0" fontId="1" fillId="0" borderId="0" xfId="8" applyFont="1" applyFill="1" applyBorder="1"/>
    <xf numFmtId="10" fontId="0" fillId="0" borderId="0" xfId="0" applyNumberFormat="1"/>
    <xf numFmtId="49" fontId="9" fillId="0" borderId="0" xfId="1" applyNumberFormat="1" applyFont="1" applyAlignment="1">
      <alignment horizontal="left"/>
    </xf>
    <xf numFmtId="49" fontId="7" fillId="0" borderId="0" xfId="0" applyNumberFormat="1" applyFont="1" applyAlignment="1">
      <alignment horizontal="left"/>
    </xf>
    <xf numFmtId="49" fontId="0" fillId="0" borderId="0" xfId="0" applyNumberFormat="1" applyAlignment="1">
      <alignment horizontal="left" vertical="center"/>
    </xf>
    <xf numFmtId="0" fontId="0" fillId="0" borderId="0" xfId="0" applyAlignment="1">
      <alignment horizontal="center"/>
    </xf>
    <xf numFmtId="49" fontId="8" fillId="0" borderId="0" xfId="0" applyNumberFormat="1" applyFont="1" applyAlignment="1">
      <alignment horizontal="left" vertical="center"/>
    </xf>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11" fillId="0" borderId="0" xfId="0" applyFont="1" applyFill="1" applyBorder="1"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5" fillId="2" borderId="0" xfId="0" applyFont="1" applyFill="1" applyBorder="1" applyAlignment="1">
      <alignment horizontal="center" vertical="center" wrapText="1"/>
    </xf>
    <xf numFmtId="0" fontId="4" fillId="0" borderId="0" xfId="0" applyFont="1" applyAlignment="1">
      <alignment horizontal="left" vertical="top"/>
    </xf>
    <xf numFmtId="0" fontId="11" fillId="0" borderId="0" xfId="0" applyFont="1" applyFill="1" applyBorder="1" applyAlignment="1">
      <alignment horizontal="center"/>
    </xf>
    <xf numFmtId="0" fontId="4" fillId="3" borderId="0" xfId="0" applyNumberFormat="1" applyFont="1" applyFill="1" applyBorder="1" applyAlignment="1">
      <alignment horizontal="center"/>
    </xf>
    <xf numFmtId="0" fontId="0" fillId="0" borderId="0" xfId="0" applyFont="1" applyFill="1" applyBorder="1" applyAlignment="1">
      <alignment horizontal="left" vertical="center" wrapText="1"/>
    </xf>
    <xf numFmtId="0" fontId="17" fillId="0" borderId="0" xfId="0" applyFont="1" applyFill="1" applyBorder="1" applyAlignment="1">
      <alignment horizontal="left" vertical="center"/>
    </xf>
    <xf numFmtId="0" fontId="17" fillId="0" borderId="0" xfId="0" applyFont="1" applyFill="1" applyBorder="1" applyAlignment="1">
      <alignment horizontal="left" vertical="top" wrapText="1"/>
    </xf>
    <xf numFmtId="0" fontId="15" fillId="4" borderId="0" xfId="0" quotePrefix="1" applyFont="1" applyFill="1" applyBorder="1" applyAlignment="1">
      <alignment horizontal="center"/>
    </xf>
    <xf numFmtId="0" fontId="15" fillId="4" borderId="0" xfId="0" applyFont="1" applyFill="1" applyBorder="1" applyAlignment="1"/>
    <xf numFmtId="0" fontId="1" fillId="0" borderId="0" xfId="8" applyFont="1" applyBorder="1" applyAlignment="1">
      <alignment horizontal="center" vertical="center" wrapText="1"/>
    </xf>
    <xf numFmtId="0" fontId="1" fillId="0" borderId="0" xfId="8" applyFont="1" applyFill="1" applyBorder="1" applyAlignment="1">
      <alignment horizontal="center" vertical="center" wrapText="1"/>
    </xf>
  </cellXfs>
  <cellStyles count="14">
    <cellStyle name="Hyperlink" xfId="1" builtinId="8"/>
    <cellStyle name="Normal" xfId="0" builtinId="0"/>
    <cellStyle name="Normal 2" xfId="2"/>
    <cellStyle name="Normal 2 2" xfId="8"/>
    <cellStyle name="Normal 2 3" xfId="7"/>
    <cellStyle name="Normal 3" xfId="3"/>
    <cellStyle name="Normal 3 2" xfId="4"/>
    <cellStyle name="Normal 4" xfId="5"/>
    <cellStyle name="Normal 5" xfId="12"/>
    <cellStyle name="Normal 7" xfId="9"/>
    <cellStyle name="Percent" xfId="13" builtinId="5"/>
    <cellStyle name="Percent 2" xfId="6"/>
    <cellStyle name="Percent 2 2" xfId="11"/>
    <cellStyle name="Percent 2 3"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9408</xdr:colOff>
      <xdr:row>0</xdr:row>
      <xdr:rowOff>0</xdr:rowOff>
    </xdr:from>
    <xdr:to>
      <xdr:col>15</xdr:col>
      <xdr:colOff>3289</xdr:colOff>
      <xdr:row>7</xdr:row>
      <xdr:rowOff>19050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9408" y="0"/>
          <a:ext cx="9004531"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abSelected="1" workbookViewId="0">
      <selection sqref="A1:O7"/>
    </sheetView>
  </sheetViews>
  <sheetFormatPr defaultRowHeight="15" x14ac:dyDescent="0.25"/>
  <cols>
    <col min="1" max="1" width="9.140625" customWidth="1"/>
    <col min="15" max="15" width="7.140625" customWidth="1"/>
  </cols>
  <sheetData>
    <row r="1" spans="1:15" x14ac:dyDescent="0.25">
      <c r="A1" s="75"/>
      <c r="B1" s="75"/>
      <c r="C1" s="75"/>
      <c r="D1" s="75"/>
      <c r="E1" s="75"/>
      <c r="F1" s="75"/>
      <c r="G1" s="75"/>
      <c r="H1" s="75"/>
      <c r="I1" s="75"/>
      <c r="J1" s="75"/>
      <c r="K1" s="75"/>
      <c r="L1" s="75"/>
      <c r="M1" s="75"/>
      <c r="N1" s="75"/>
      <c r="O1" s="75"/>
    </row>
    <row r="2" spans="1:15" x14ac:dyDescent="0.25">
      <c r="A2" s="75"/>
      <c r="B2" s="75"/>
      <c r="C2" s="75"/>
      <c r="D2" s="75"/>
      <c r="E2" s="75"/>
      <c r="F2" s="75"/>
      <c r="G2" s="75"/>
      <c r="H2" s="75"/>
      <c r="I2" s="75"/>
      <c r="J2" s="75"/>
      <c r="K2" s="75"/>
      <c r="L2" s="75"/>
      <c r="M2" s="75"/>
      <c r="N2" s="75"/>
      <c r="O2" s="75"/>
    </row>
    <row r="3" spans="1:15" x14ac:dyDescent="0.25">
      <c r="A3" s="75"/>
      <c r="B3" s="75"/>
      <c r="C3" s="75"/>
      <c r="D3" s="75"/>
      <c r="E3" s="75"/>
      <c r="F3" s="75"/>
      <c r="G3" s="75"/>
      <c r="H3" s="75"/>
      <c r="I3" s="75"/>
      <c r="J3" s="75"/>
      <c r="K3" s="75"/>
      <c r="L3" s="75"/>
      <c r="M3" s="75"/>
      <c r="N3" s="75"/>
      <c r="O3" s="75"/>
    </row>
    <row r="4" spans="1:15" x14ac:dyDescent="0.25">
      <c r="A4" s="75"/>
      <c r="B4" s="75"/>
      <c r="C4" s="75"/>
      <c r="D4" s="75"/>
      <c r="E4" s="75"/>
      <c r="F4" s="75"/>
      <c r="G4" s="75"/>
      <c r="H4" s="75"/>
      <c r="I4" s="75"/>
      <c r="J4" s="75"/>
      <c r="K4" s="75"/>
      <c r="L4" s="75"/>
      <c r="M4" s="75"/>
      <c r="N4" s="75"/>
      <c r="O4" s="75"/>
    </row>
    <row r="5" spans="1:15" x14ac:dyDescent="0.25">
      <c r="A5" s="75"/>
      <c r="B5" s="75"/>
      <c r="C5" s="75"/>
      <c r="D5" s="75"/>
      <c r="E5" s="75"/>
      <c r="F5" s="75"/>
      <c r="G5" s="75"/>
      <c r="H5" s="75"/>
      <c r="I5" s="75"/>
      <c r="J5" s="75"/>
      <c r="K5" s="75"/>
      <c r="L5" s="75"/>
      <c r="M5" s="75"/>
      <c r="N5" s="75"/>
      <c r="O5" s="75"/>
    </row>
    <row r="6" spans="1:15" x14ac:dyDescent="0.25">
      <c r="A6" s="75"/>
      <c r="B6" s="75"/>
      <c r="C6" s="75"/>
      <c r="D6" s="75"/>
      <c r="E6" s="75"/>
      <c r="F6" s="75"/>
      <c r="G6" s="75"/>
      <c r="H6" s="75"/>
      <c r="I6" s="75"/>
      <c r="J6" s="75"/>
      <c r="K6" s="75"/>
      <c r="L6" s="75"/>
      <c r="M6" s="75"/>
      <c r="N6" s="75"/>
      <c r="O6" s="75"/>
    </row>
    <row r="7" spans="1:15" ht="4.5" customHeight="1" x14ac:dyDescent="0.25">
      <c r="A7" s="75"/>
      <c r="B7" s="75"/>
      <c r="C7" s="75"/>
      <c r="D7" s="75"/>
      <c r="E7" s="75"/>
      <c r="F7" s="75"/>
      <c r="G7" s="75"/>
      <c r="H7" s="75"/>
      <c r="I7" s="75"/>
      <c r="J7" s="75"/>
      <c r="K7" s="75"/>
      <c r="L7" s="75"/>
      <c r="M7" s="75"/>
      <c r="N7" s="75"/>
      <c r="O7" s="75"/>
    </row>
    <row r="8" spans="1:15" x14ac:dyDescent="0.25">
      <c r="A8" s="76" t="s">
        <v>0</v>
      </c>
      <c r="B8" s="74"/>
      <c r="C8" s="74"/>
      <c r="D8" s="74"/>
      <c r="E8" s="74"/>
      <c r="F8" s="74"/>
      <c r="G8" s="74"/>
      <c r="H8" s="74"/>
      <c r="I8" s="74"/>
      <c r="J8" s="74"/>
      <c r="K8" s="74"/>
      <c r="L8" s="74"/>
      <c r="M8" s="74"/>
      <c r="N8" s="74"/>
      <c r="O8" s="74"/>
    </row>
    <row r="9" spans="1:15" x14ac:dyDescent="0.25">
      <c r="A9" s="74"/>
      <c r="B9" s="74"/>
      <c r="C9" s="74"/>
      <c r="D9" s="74"/>
      <c r="E9" s="74"/>
      <c r="F9" s="74"/>
      <c r="G9" s="74"/>
      <c r="H9" s="74"/>
      <c r="I9" s="74"/>
      <c r="J9" s="74"/>
      <c r="K9" s="74"/>
      <c r="L9" s="74"/>
      <c r="M9" s="74"/>
      <c r="N9" s="74"/>
      <c r="O9" s="74"/>
    </row>
    <row r="10" spans="1:15" s="1" customFormat="1" x14ac:dyDescent="0.25">
      <c r="A10" s="74" t="s">
        <v>1</v>
      </c>
      <c r="B10" s="74"/>
      <c r="C10" s="74"/>
      <c r="D10" s="74"/>
      <c r="E10" s="74"/>
      <c r="F10" s="74"/>
      <c r="G10" s="74"/>
      <c r="H10" s="74"/>
      <c r="I10" s="74"/>
      <c r="J10" s="74"/>
      <c r="K10" s="74"/>
      <c r="L10" s="74"/>
      <c r="M10" s="74"/>
      <c r="N10" s="74"/>
      <c r="O10" s="74"/>
    </row>
    <row r="11" spans="1:15" x14ac:dyDescent="0.25">
      <c r="A11" s="2"/>
      <c r="B11" s="72" t="s">
        <v>2</v>
      </c>
      <c r="C11" s="72"/>
      <c r="D11" s="72"/>
      <c r="E11" s="72"/>
      <c r="F11" s="72"/>
      <c r="G11" s="72"/>
      <c r="H11" s="72"/>
      <c r="I11" s="72"/>
      <c r="J11" s="72"/>
      <c r="K11" s="72"/>
      <c r="L11" s="72"/>
      <c r="M11" s="72"/>
      <c r="N11" s="72"/>
      <c r="O11" s="72"/>
    </row>
    <row r="12" spans="1:15" x14ac:dyDescent="0.25">
      <c r="A12" s="2"/>
      <c r="B12" s="72" t="s">
        <v>3</v>
      </c>
      <c r="C12" s="72"/>
      <c r="D12" s="72"/>
      <c r="E12" s="72"/>
      <c r="F12" s="72"/>
      <c r="G12" s="72"/>
      <c r="H12" s="72"/>
      <c r="I12" s="72"/>
      <c r="J12" s="72"/>
      <c r="K12" s="72"/>
      <c r="L12" s="72"/>
      <c r="M12" s="72"/>
      <c r="N12" s="72"/>
      <c r="O12" s="72"/>
    </row>
    <row r="13" spans="1:15" x14ac:dyDescent="0.25">
      <c r="A13" s="2"/>
      <c r="B13" s="72" t="s">
        <v>4</v>
      </c>
      <c r="C13" s="72"/>
      <c r="D13" s="72"/>
      <c r="E13" s="72"/>
      <c r="F13" s="72"/>
      <c r="G13" s="72"/>
      <c r="H13" s="72"/>
      <c r="I13" s="72"/>
      <c r="J13" s="72"/>
      <c r="K13" s="72"/>
      <c r="L13" s="72"/>
      <c r="M13" s="72"/>
      <c r="N13" s="72"/>
      <c r="O13" s="72"/>
    </row>
    <row r="14" spans="1:15" x14ac:dyDescent="0.25">
      <c r="A14" s="2"/>
      <c r="B14" s="72" t="s">
        <v>5</v>
      </c>
      <c r="C14" s="72"/>
      <c r="D14" s="72"/>
      <c r="E14" s="72"/>
      <c r="F14" s="72"/>
      <c r="G14" s="72"/>
      <c r="H14" s="72"/>
      <c r="I14" s="72"/>
      <c r="J14" s="72"/>
      <c r="K14" s="72"/>
      <c r="L14" s="72"/>
      <c r="M14" s="72"/>
      <c r="N14" s="72"/>
      <c r="O14" s="72"/>
    </row>
    <row r="15" spans="1:15" x14ac:dyDescent="0.25">
      <c r="A15" s="2"/>
      <c r="B15" s="72" t="s">
        <v>6</v>
      </c>
      <c r="C15" s="72"/>
      <c r="D15" s="72"/>
      <c r="E15" s="72"/>
      <c r="F15" s="72"/>
      <c r="G15" s="72"/>
      <c r="H15" s="72"/>
      <c r="I15" s="72"/>
      <c r="J15" s="72"/>
      <c r="K15" s="72"/>
      <c r="L15" s="72"/>
      <c r="M15" s="72"/>
      <c r="N15" s="72"/>
      <c r="O15" s="72"/>
    </row>
    <row r="16" spans="1:15" s="1" customFormat="1" x14ac:dyDescent="0.25">
      <c r="A16" s="2"/>
      <c r="B16" s="72" t="s">
        <v>7</v>
      </c>
      <c r="C16" s="72"/>
      <c r="D16" s="72"/>
      <c r="E16" s="72"/>
      <c r="F16" s="72"/>
      <c r="G16" s="72"/>
      <c r="H16" s="72"/>
      <c r="I16" s="72"/>
      <c r="J16" s="72"/>
      <c r="K16" s="72"/>
      <c r="L16" s="72"/>
      <c r="M16" s="72"/>
      <c r="N16" s="72"/>
      <c r="O16" s="72"/>
    </row>
    <row r="17" spans="1:15" s="1" customFormat="1" x14ac:dyDescent="0.25">
      <c r="A17" s="2"/>
      <c r="B17" s="72" t="s">
        <v>8</v>
      </c>
      <c r="C17" s="72"/>
      <c r="D17" s="72"/>
      <c r="E17" s="72"/>
      <c r="F17" s="72"/>
      <c r="G17" s="72"/>
      <c r="H17" s="72"/>
      <c r="I17" s="72"/>
      <c r="J17" s="72"/>
      <c r="K17" s="72"/>
      <c r="L17" s="72"/>
      <c r="M17" s="72"/>
      <c r="N17" s="72"/>
      <c r="O17" s="72"/>
    </row>
    <row r="18" spans="1:15" s="1" customFormat="1" x14ac:dyDescent="0.25">
      <c r="A18" s="2"/>
      <c r="B18" s="72" t="s">
        <v>9</v>
      </c>
      <c r="C18" s="72"/>
      <c r="D18" s="72"/>
      <c r="E18" s="72"/>
      <c r="F18" s="72"/>
      <c r="G18" s="72"/>
      <c r="H18" s="72"/>
      <c r="I18" s="72"/>
      <c r="J18" s="72"/>
      <c r="K18" s="72"/>
      <c r="L18" s="72"/>
      <c r="M18" s="72"/>
      <c r="N18" s="72"/>
      <c r="O18" s="72"/>
    </row>
    <row r="19" spans="1:15" s="1" customFormat="1" x14ac:dyDescent="0.25">
      <c r="A19" s="73" t="s">
        <v>10</v>
      </c>
      <c r="B19" s="73"/>
      <c r="C19" s="73"/>
      <c r="D19" s="73"/>
      <c r="E19" s="73"/>
      <c r="F19" s="73"/>
      <c r="G19" s="73"/>
      <c r="H19" s="73"/>
      <c r="I19" s="73"/>
      <c r="J19" s="73"/>
      <c r="K19" s="73"/>
      <c r="L19" s="73"/>
      <c r="M19" s="73"/>
      <c r="N19" s="73"/>
      <c r="O19" s="73"/>
    </row>
    <row r="20" spans="1:15" x14ac:dyDescent="0.25">
      <c r="A20" s="2"/>
      <c r="B20" s="72" t="s">
        <v>11</v>
      </c>
      <c r="C20" s="72"/>
      <c r="D20" s="72"/>
      <c r="E20" s="72"/>
      <c r="F20" s="72"/>
      <c r="G20" s="72"/>
      <c r="H20" s="72"/>
      <c r="I20" s="72"/>
      <c r="J20" s="72"/>
      <c r="K20" s="72"/>
      <c r="L20" s="72"/>
      <c r="M20" s="72"/>
      <c r="N20" s="72"/>
      <c r="O20" s="72"/>
    </row>
    <row r="21" spans="1:15" x14ac:dyDescent="0.25">
      <c r="A21" s="2"/>
      <c r="B21" s="72" t="s">
        <v>12</v>
      </c>
      <c r="C21" s="72"/>
      <c r="D21" s="72"/>
      <c r="E21" s="72"/>
      <c r="F21" s="72"/>
      <c r="G21" s="72"/>
      <c r="H21" s="72"/>
      <c r="I21" s="72"/>
      <c r="J21" s="72"/>
      <c r="K21" s="72"/>
      <c r="L21" s="72"/>
      <c r="M21" s="72"/>
      <c r="N21" s="72"/>
      <c r="O21" s="72"/>
    </row>
    <row r="22" spans="1:15" s="1" customFormat="1" x14ac:dyDescent="0.25">
      <c r="A22" s="73" t="s">
        <v>13</v>
      </c>
      <c r="B22" s="73"/>
      <c r="C22" s="73"/>
      <c r="D22" s="73"/>
      <c r="E22" s="73"/>
      <c r="F22" s="73"/>
      <c r="G22" s="73"/>
      <c r="H22" s="73"/>
      <c r="I22" s="73"/>
      <c r="J22" s="73"/>
      <c r="K22" s="73"/>
      <c r="L22" s="73"/>
      <c r="M22" s="73"/>
      <c r="N22" s="73"/>
      <c r="O22" s="73"/>
    </row>
    <row r="23" spans="1:15" x14ac:dyDescent="0.25">
      <c r="A23" s="2"/>
      <c r="B23" s="72" t="s">
        <v>14</v>
      </c>
      <c r="C23" s="72"/>
      <c r="D23" s="72"/>
      <c r="E23" s="72"/>
      <c r="F23" s="72"/>
      <c r="G23" s="72"/>
      <c r="H23" s="72"/>
      <c r="I23" s="72"/>
      <c r="J23" s="72"/>
      <c r="K23" s="72"/>
      <c r="L23" s="72"/>
      <c r="M23" s="72"/>
      <c r="N23" s="72"/>
      <c r="O23" s="72"/>
    </row>
    <row r="24" spans="1:15" x14ac:dyDescent="0.25">
      <c r="A24" s="2"/>
      <c r="B24" s="72" t="s">
        <v>137</v>
      </c>
      <c r="C24" s="72"/>
      <c r="D24" s="72"/>
      <c r="E24" s="72"/>
      <c r="F24" s="72"/>
      <c r="G24" s="72"/>
      <c r="H24" s="72"/>
      <c r="I24" s="72"/>
      <c r="J24" s="72"/>
      <c r="K24" s="72"/>
      <c r="L24" s="72"/>
      <c r="M24" s="72"/>
      <c r="N24" s="72"/>
      <c r="O24" s="72"/>
    </row>
    <row r="25" spans="1:15" x14ac:dyDescent="0.25">
      <c r="A25" s="2"/>
      <c r="B25" s="72" t="s">
        <v>141</v>
      </c>
      <c r="C25" s="72"/>
      <c r="D25" s="72"/>
      <c r="E25" s="72"/>
      <c r="F25" s="72"/>
      <c r="G25" s="72"/>
      <c r="H25" s="72"/>
      <c r="I25" s="72"/>
      <c r="J25" s="72"/>
      <c r="K25" s="72"/>
      <c r="L25" s="72"/>
      <c r="M25" s="72"/>
      <c r="N25" s="72"/>
      <c r="O25" s="72"/>
    </row>
    <row r="26" spans="1:15" x14ac:dyDescent="0.25">
      <c r="A26" s="2"/>
      <c r="B26" s="72" t="s">
        <v>138</v>
      </c>
      <c r="C26" s="72"/>
      <c r="D26" s="72"/>
      <c r="E26" s="72"/>
      <c r="F26" s="72"/>
      <c r="G26" s="72"/>
      <c r="H26" s="72"/>
      <c r="I26" s="72"/>
      <c r="J26" s="72"/>
      <c r="K26" s="72"/>
      <c r="L26" s="72"/>
      <c r="M26" s="72"/>
      <c r="N26" s="72"/>
      <c r="O26" s="72"/>
    </row>
    <row r="27" spans="1:15" x14ac:dyDescent="0.25">
      <c r="A27" s="74" t="s">
        <v>15</v>
      </c>
      <c r="B27" s="74"/>
      <c r="C27" s="74"/>
      <c r="D27" s="74"/>
      <c r="E27" s="74"/>
      <c r="F27" s="74"/>
      <c r="G27" s="74"/>
      <c r="H27" s="74"/>
      <c r="I27" s="74"/>
      <c r="J27" s="74"/>
      <c r="K27" s="74"/>
      <c r="L27" s="74"/>
      <c r="M27" s="74"/>
      <c r="N27" s="74"/>
      <c r="O27" s="74"/>
    </row>
    <row r="28" spans="1:15" x14ac:dyDescent="0.25">
      <c r="A28" s="74"/>
      <c r="B28" s="74"/>
      <c r="C28" s="74"/>
      <c r="D28" s="74"/>
      <c r="E28" s="74"/>
      <c r="F28" s="74"/>
      <c r="G28" s="74"/>
      <c r="H28" s="74"/>
      <c r="I28" s="74"/>
      <c r="J28" s="74"/>
      <c r="K28" s="74"/>
      <c r="L28" s="74"/>
      <c r="M28" s="74"/>
      <c r="N28" s="74"/>
      <c r="O28" s="74"/>
    </row>
    <row r="31" spans="1:15" x14ac:dyDescent="0.25">
      <c r="E31" s="1"/>
    </row>
    <row r="33" spans="5:5" x14ac:dyDescent="0.25">
      <c r="E33" s="1"/>
    </row>
  </sheetData>
  <mergeCells count="20">
    <mergeCell ref="B14:O14"/>
    <mergeCell ref="A10:O10"/>
    <mergeCell ref="B15:O15"/>
    <mergeCell ref="B20:O20"/>
    <mergeCell ref="B21:O21"/>
    <mergeCell ref="B18:O18"/>
    <mergeCell ref="B17:O17"/>
    <mergeCell ref="B16:O16"/>
    <mergeCell ref="A1:O7"/>
    <mergeCell ref="A8:O9"/>
    <mergeCell ref="B11:O11"/>
    <mergeCell ref="B12:O12"/>
    <mergeCell ref="B13:O13"/>
    <mergeCell ref="B23:O23"/>
    <mergeCell ref="B24:O24"/>
    <mergeCell ref="A19:O19"/>
    <mergeCell ref="A22:O22"/>
    <mergeCell ref="A27:O28"/>
    <mergeCell ref="B25:O25"/>
    <mergeCell ref="B26:O26"/>
  </mergeCells>
  <hyperlinks>
    <hyperlink ref="B11:O11" location="'3.1.1'!A1" display="3.1.1 Freshman graduation rates, UC and comparison institutions"/>
    <hyperlink ref="B12:O12" location="'3.1.2'!A1" display="3.1.2 Freshman graduation rates, including those who graduated from a non-UC institution"/>
    <hyperlink ref="B13:O13" location="'3.1.3'!A1" display="3.1.3 Transfer graduation rates"/>
    <hyperlink ref="B14:O14" location="'3.1.4'!A1" display="3.1.4 Freshman graduation rates by race/ethnicity"/>
    <hyperlink ref="B15:O15" location="'3.1.5'!A1" display="3.1.5 Transfer graduation rates by race/ethnicity"/>
    <hyperlink ref="B20:O20" location="'3.2.1'!A1" display="3.2.1 Freshman first-year retention rates, UC and comparison institutions"/>
    <hyperlink ref="B21:O21" location="'3.2.2'!A1" display="3.2.2 Transfer retention rates, Universitywide and by campus"/>
    <hyperlink ref="B23:O23" location="'3.3.1'!A1" display="3.3.1 Undergraduate degrees awarded by discipline, UC and comparison institutions"/>
    <hyperlink ref="B24:O24" location="'3.3.2'!A1" display="3.3.2 Student responses to questions about areas of engagement"/>
    <hyperlink ref="B25:O25" location="'3.3.3'!A1" display="3.3.3 Student satisfaction with overall academic experience, graduating seniors"/>
    <hyperlink ref="B26:O26" location="'3.3.4'!A1" display="3.3.4 Inflation-adjusted average alumni wages by selected majors"/>
    <hyperlink ref="B16:O16" location="'3.1.6'!A1" display="3.1.6 Freshman graduation rates by Pell Grant receipt status"/>
    <hyperlink ref="B17:O17" location="'3.1.7'!A1" display="3.1.7 Transfer graduation rates by Pell Grant receipt status"/>
    <hyperlink ref="B18:O18" location="'3.1.8'!A1" display="3.1.8 Average time to degree"/>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3"/>
  <sheetViews>
    <sheetView workbookViewId="0"/>
  </sheetViews>
  <sheetFormatPr defaultColWidth="9.140625" defaultRowHeight="15" x14ac:dyDescent="0.25"/>
  <cols>
    <col min="1" max="1" width="22.42578125" style="4" customWidth="1"/>
    <col min="2" max="2" width="12.85546875" style="4" customWidth="1"/>
    <col min="3" max="5" width="12.7109375" style="4" customWidth="1"/>
    <col min="6" max="16384" width="9.140625" style="4"/>
  </cols>
  <sheetData>
    <row r="1" spans="1:5" x14ac:dyDescent="0.25">
      <c r="A1" s="6" t="s">
        <v>2</v>
      </c>
    </row>
    <row r="2" spans="1:5" x14ac:dyDescent="0.25">
      <c r="A2" s="3"/>
      <c r="B2" s="3"/>
      <c r="C2" s="3"/>
      <c r="D2" s="3"/>
      <c r="E2" s="3"/>
    </row>
    <row r="3" spans="1:5" ht="25.5" x14ac:dyDescent="0.25">
      <c r="A3" s="48" t="s">
        <v>16</v>
      </c>
      <c r="B3" s="48" t="s">
        <v>17</v>
      </c>
      <c r="C3" s="48" t="s">
        <v>18</v>
      </c>
      <c r="D3" s="48" t="s">
        <v>19</v>
      </c>
      <c r="E3" s="48" t="s">
        <v>20</v>
      </c>
    </row>
    <row r="4" spans="1:5" x14ac:dyDescent="0.25">
      <c r="A4" s="80" t="s">
        <v>21</v>
      </c>
      <c r="B4" s="1">
        <v>2011</v>
      </c>
      <c r="C4" s="22">
        <v>81</v>
      </c>
      <c r="D4" s="22">
        <v>7</v>
      </c>
      <c r="E4" s="22">
        <v>1</v>
      </c>
    </row>
    <row r="5" spans="1:5" x14ac:dyDescent="0.25">
      <c r="A5" s="80"/>
      <c r="B5" s="1"/>
      <c r="C5" s="51"/>
      <c r="D5" s="22"/>
      <c r="E5" s="22"/>
    </row>
    <row r="6" spans="1:5" x14ac:dyDescent="0.25">
      <c r="A6" s="80" t="s">
        <v>22</v>
      </c>
      <c r="B6" s="1">
        <v>2011</v>
      </c>
      <c r="C6" s="22">
        <v>59</v>
      </c>
      <c r="D6" s="22">
        <v>18</v>
      </c>
      <c r="E6" s="22">
        <v>3</v>
      </c>
    </row>
    <row r="7" spans="1:5" x14ac:dyDescent="0.25">
      <c r="A7" s="80"/>
      <c r="B7" s="1"/>
      <c r="C7" s="22"/>
      <c r="D7" s="22"/>
      <c r="E7" s="22"/>
    </row>
    <row r="8" spans="1:5" x14ac:dyDescent="0.25">
      <c r="A8" s="26" t="s">
        <v>23</v>
      </c>
      <c r="B8" s="1">
        <v>2011</v>
      </c>
      <c r="C8" s="22">
        <v>64</v>
      </c>
      <c r="D8" s="22">
        <v>17.900000000000006</v>
      </c>
      <c r="E8" s="22">
        <v>2.7999999999999972</v>
      </c>
    </row>
    <row r="9" spans="1:5" x14ac:dyDescent="0.25">
      <c r="A9" s="26"/>
      <c r="B9" s="1">
        <v>2012</v>
      </c>
      <c r="C9" s="23">
        <v>64.3</v>
      </c>
      <c r="D9" s="22">
        <v>17.200000000000003</v>
      </c>
      <c r="E9" s="22">
        <v>2.7000000000000028</v>
      </c>
    </row>
    <row r="10" spans="1:5" x14ac:dyDescent="0.25">
      <c r="A10" s="26"/>
      <c r="B10" s="1">
        <v>2013</v>
      </c>
      <c r="C10" s="23">
        <v>66.5</v>
      </c>
      <c r="D10" s="22">
        <v>16.200000000000003</v>
      </c>
      <c r="E10" s="22"/>
    </row>
    <row r="11" spans="1:5" x14ac:dyDescent="0.25">
      <c r="A11" s="47"/>
      <c r="B11" s="1">
        <v>2014</v>
      </c>
      <c r="C11" s="23">
        <v>67.900000000000006</v>
      </c>
      <c r="D11" s="22"/>
      <c r="E11" s="22"/>
    </row>
    <row r="12" spans="1:5" x14ac:dyDescent="0.25">
      <c r="A12" s="47" t="s">
        <v>24</v>
      </c>
      <c r="B12" s="1"/>
      <c r="C12" s="23"/>
      <c r="D12" s="22"/>
      <c r="E12" s="22"/>
    </row>
    <row r="13" spans="1:5" x14ac:dyDescent="0.25">
      <c r="A13" s="81" t="s">
        <v>25</v>
      </c>
      <c r="B13" s="1">
        <v>2012</v>
      </c>
      <c r="C13" s="23">
        <v>74.400000000000006</v>
      </c>
      <c r="D13" s="23">
        <v>14.399999999999991</v>
      </c>
      <c r="E13" s="22">
        <v>2.5</v>
      </c>
    </row>
    <row r="14" spans="1:5" x14ac:dyDescent="0.25">
      <c r="A14" s="81"/>
      <c r="B14" s="1">
        <v>2013</v>
      </c>
      <c r="C14" s="23">
        <v>75.8</v>
      </c>
      <c r="D14" s="23">
        <v>13.600000000000009</v>
      </c>
      <c r="E14" s="22"/>
    </row>
    <row r="15" spans="1:5" x14ac:dyDescent="0.25">
      <c r="A15" s="81"/>
      <c r="B15" s="1">
        <v>2014</v>
      </c>
      <c r="C15" s="23">
        <v>75.900000000000006</v>
      </c>
      <c r="D15" s="22"/>
      <c r="E15" s="22"/>
    </row>
    <row r="16" spans="1:5" x14ac:dyDescent="0.25">
      <c r="A16" s="47" t="s">
        <v>24</v>
      </c>
      <c r="B16" s="1"/>
      <c r="C16" s="1"/>
      <c r="D16" s="1"/>
      <c r="E16" s="1"/>
    </row>
    <row r="17" spans="1:5" x14ac:dyDescent="0.25">
      <c r="A17" s="81" t="s">
        <v>26</v>
      </c>
      <c r="B17" s="1">
        <v>2012</v>
      </c>
      <c r="C17" s="23">
        <v>60.9</v>
      </c>
      <c r="D17" s="22">
        <v>22.500000000000007</v>
      </c>
      <c r="E17" s="22">
        <v>3.2999999999999972</v>
      </c>
    </row>
    <row r="18" spans="1:5" x14ac:dyDescent="0.25">
      <c r="A18" s="81"/>
      <c r="B18" s="1">
        <v>2013</v>
      </c>
      <c r="C18" s="23">
        <v>63.1</v>
      </c>
      <c r="D18" s="22">
        <v>21.1</v>
      </c>
      <c r="E18" s="22"/>
    </row>
    <row r="19" spans="1:5" x14ac:dyDescent="0.25">
      <c r="A19" s="81"/>
      <c r="B19" s="1">
        <v>2014</v>
      </c>
      <c r="C19" s="23">
        <v>63.9</v>
      </c>
      <c r="D19" s="22"/>
      <c r="E19" s="22"/>
    </row>
    <row r="20" spans="1:5" x14ac:dyDescent="0.25">
      <c r="A20" s="47" t="s">
        <v>24</v>
      </c>
      <c r="B20" s="1"/>
      <c r="C20" s="1"/>
      <c r="D20" s="1"/>
      <c r="E20" s="1"/>
    </row>
    <row r="21" spans="1:5" x14ac:dyDescent="0.25">
      <c r="A21" s="81" t="s">
        <v>27</v>
      </c>
      <c r="B21" s="1">
        <v>2012</v>
      </c>
      <c r="C21" s="22">
        <v>67.8</v>
      </c>
      <c r="D21" s="22">
        <v>14.299999999999997</v>
      </c>
      <c r="E21" s="22">
        <v>1.7000000000000028</v>
      </c>
    </row>
    <row r="22" spans="1:5" x14ac:dyDescent="0.25">
      <c r="A22" s="81"/>
      <c r="B22" s="1">
        <v>2013</v>
      </c>
      <c r="C22" s="23">
        <v>69.599999999999994</v>
      </c>
      <c r="D22" s="22">
        <v>13.600000000000009</v>
      </c>
      <c r="E22" s="22"/>
    </row>
    <row r="23" spans="1:5" x14ac:dyDescent="0.25">
      <c r="A23" s="81"/>
      <c r="B23" s="1">
        <v>2014</v>
      </c>
      <c r="C23" s="23">
        <v>69</v>
      </c>
      <c r="D23" s="22"/>
      <c r="E23" s="22"/>
    </row>
    <row r="24" spans="1:5" x14ac:dyDescent="0.25">
      <c r="A24" s="47" t="s">
        <v>24</v>
      </c>
      <c r="B24" s="1"/>
      <c r="C24" s="23"/>
      <c r="D24" s="22"/>
      <c r="E24" s="22"/>
    </row>
    <row r="25" spans="1:5" x14ac:dyDescent="0.25">
      <c r="A25" s="81" t="s">
        <v>28</v>
      </c>
      <c r="B25" s="1">
        <v>2012</v>
      </c>
      <c r="C25" s="23">
        <v>76.599999999999994</v>
      </c>
      <c r="D25" s="22">
        <v>12.100000000000009</v>
      </c>
      <c r="E25" s="22">
        <v>1.7000000000000028</v>
      </c>
    </row>
    <row r="26" spans="1:5" x14ac:dyDescent="0.25">
      <c r="A26" s="81"/>
      <c r="B26" s="1">
        <v>2013</v>
      </c>
      <c r="C26" s="23">
        <v>79.400000000000006</v>
      </c>
      <c r="D26" s="22">
        <v>10.099999999999994</v>
      </c>
      <c r="E26" s="22"/>
    </row>
    <row r="27" spans="1:5" x14ac:dyDescent="0.25">
      <c r="A27" s="81"/>
      <c r="B27" s="1">
        <v>2014</v>
      </c>
      <c r="C27" s="23">
        <v>79.8</v>
      </c>
      <c r="D27" s="22"/>
      <c r="E27" s="24"/>
    </row>
    <row r="28" spans="1:5" x14ac:dyDescent="0.25">
      <c r="A28" s="47" t="s">
        <v>24</v>
      </c>
      <c r="B28" s="1"/>
      <c r="C28" s="1"/>
      <c r="D28" s="1"/>
      <c r="E28" s="1"/>
    </row>
    <row r="29" spans="1:5" x14ac:dyDescent="0.25">
      <c r="A29" s="81" t="s">
        <v>29</v>
      </c>
      <c r="B29" s="1">
        <v>2012</v>
      </c>
      <c r="C29" s="25">
        <v>39.5</v>
      </c>
      <c r="D29" s="22">
        <v>25.200000000000003</v>
      </c>
      <c r="E29" s="22">
        <v>4.3999999999999915</v>
      </c>
    </row>
    <row r="30" spans="1:5" x14ac:dyDescent="0.25">
      <c r="A30" s="81"/>
      <c r="B30" s="1">
        <v>2013</v>
      </c>
      <c r="C30" s="25">
        <v>45.3</v>
      </c>
      <c r="D30" s="22">
        <v>22.400000000000006</v>
      </c>
      <c r="E30" s="22"/>
    </row>
    <row r="31" spans="1:5" x14ac:dyDescent="0.25">
      <c r="A31" s="81"/>
      <c r="B31" s="1">
        <v>2014</v>
      </c>
      <c r="C31" s="25">
        <v>45.5</v>
      </c>
      <c r="D31" s="22"/>
      <c r="E31" s="22"/>
    </row>
    <row r="32" spans="1:5" x14ac:dyDescent="0.25">
      <c r="A32" s="47" t="s">
        <v>24</v>
      </c>
      <c r="B32" s="1"/>
      <c r="C32" s="1"/>
      <c r="D32" s="1"/>
      <c r="E32" s="1"/>
    </row>
    <row r="33" spans="1:5" x14ac:dyDescent="0.25">
      <c r="A33" s="81" t="s">
        <v>30</v>
      </c>
      <c r="B33" s="1">
        <v>2012</v>
      </c>
      <c r="C33" s="22">
        <v>56.8</v>
      </c>
      <c r="D33" s="22">
        <v>17.299999999999997</v>
      </c>
      <c r="E33" s="22">
        <v>3.1000000000000085</v>
      </c>
    </row>
    <row r="34" spans="1:5" x14ac:dyDescent="0.25">
      <c r="A34" s="81"/>
      <c r="B34" s="1">
        <v>2013</v>
      </c>
      <c r="C34" s="22">
        <v>57</v>
      </c>
      <c r="D34" s="22">
        <v>17.599999999999994</v>
      </c>
      <c r="E34" s="22"/>
    </row>
    <row r="35" spans="1:5" x14ac:dyDescent="0.25">
      <c r="A35" s="81"/>
      <c r="B35" s="1">
        <v>2014</v>
      </c>
      <c r="C35" s="22">
        <v>63.7</v>
      </c>
      <c r="D35" s="22"/>
      <c r="E35" s="22"/>
    </row>
    <row r="36" spans="1:5" x14ac:dyDescent="0.25">
      <c r="A36" s="47" t="s">
        <v>24</v>
      </c>
      <c r="B36" s="1"/>
      <c r="C36" s="1"/>
      <c r="D36" s="1"/>
      <c r="E36" s="1"/>
    </row>
    <row r="37" spans="1:5" x14ac:dyDescent="0.25">
      <c r="A37" s="81" t="s">
        <v>31</v>
      </c>
      <c r="B37" s="1">
        <v>2012</v>
      </c>
      <c r="C37" s="25">
        <v>61.8</v>
      </c>
      <c r="D37" s="22">
        <v>20.600000000000009</v>
      </c>
      <c r="E37" s="22">
        <v>4.1999999999999886</v>
      </c>
    </row>
    <row r="38" spans="1:5" x14ac:dyDescent="0.25">
      <c r="A38" s="81"/>
      <c r="B38" s="1">
        <v>2013</v>
      </c>
      <c r="C38" s="25">
        <v>65.099999999999994</v>
      </c>
      <c r="D38" s="22">
        <v>19.300000000000011</v>
      </c>
      <c r="E38" s="22"/>
    </row>
    <row r="39" spans="1:5" x14ac:dyDescent="0.25">
      <c r="A39" s="81"/>
      <c r="B39" s="1">
        <v>2014</v>
      </c>
      <c r="C39" s="25">
        <v>67.5</v>
      </c>
      <c r="D39" s="22"/>
      <c r="E39" s="22"/>
    </row>
    <row r="40" spans="1:5" x14ac:dyDescent="0.25">
      <c r="A40" s="47" t="s">
        <v>24</v>
      </c>
      <c r="B40" s="1"/>
      <c r="C40" s="1"/>
      <c r="D40" s="1"/>
      <c r="E40" s="1"/>
    </row>
    <row r="41" spans="1:5" x14ac:dyDescent="0.25">
      <c r="A41" s="80" t="s">
        <v>32</v>
      </c>
      <c r="B41" s="1">
        <v>2012</v>
      </c>
      <c r="C41" s="25">
        <v>68.8</v>
      </c>
      <c r="D41" s="22">
        <v>12.100000000000009</v>
      </c>
      <c r="E41" s="22">
        <v>2.2999999999999972</v>
      </c>
    </row>
    <row r="42" spans="1:5" x14ac:dyDescent="0.25">
      <c r="A42" s="81"/>
      <c r="B42" s="1">
        <v>2013</v>
      </c>
      <c r="C42" s="25">
        <v>68.599999999999994</v>
      </c>
      <c r="D42" s="22">
        <v>13.700000000000003</v>
      </c>
      <c r="E42" s="22"/>
    </row>
    <row r="43" spans="1:5" x14ac:dyDescent="0.25">
      <c r="A43" s="81"/>
      <c r="B43" s="1">
        <v>2014</v>
      </c>
      <c r="C43" s="25">
        <v>69.7</v>
      </c>
      <c r="D43" s="22"/>
      <c r="E43" s="22"/>
    </row>
    <row r="44" spans="1:5" x14ac:dyDescent="0.25">
      <c r="A44" s="47" t="s">
        <v>24</v>
      </c>
      <c r="B44" s="1"/>
      <c r="C44" s="1"/>
      <c r="D44" s="1"/>
      <c r="E44" s="1"/>
    </row>
    <row r="45" spans="1:5" x14ac:dyDescent="0.25">
      <c r="A45" s="80" t="s">
        <v>33</v>
      </c>
      <c r="B45" s="1">
        <v>2012</v>
      </c>
      <c r="C45" s="22">
        <v>50.5</v>
      </c>
      <c r="D45" s="22">
        <v>22.799999999999997</v>
      </c>
      <c r="E45" s="22">
        <v>3.4000000000000057</v>
      </c>
    </row>
    <row r="46" spans="1:5" x14ac:dyDescent="0.25">
      <c r="A46" s="81"/>
      <c r="B46" s="1">
        <v>2013</v>
      </c>
      <c r="C46" s="22">
        <v>53.3</v>
      </c>
      <c r="D46" s="22">
        <v>20.400000000000006</v>
      </c>
      <c r="E46" s="22"/>
    </row>
    <row r="47" spans="1:5" x14ac:dyDescent="0.25">
      <c r="A47" s="81"/>
      <c r="B47" s="1">
        <v>2014</v>
      </c>
      <c r="C47" s="22">
        <v>55.9</v>
      </c>
      <c r="D47" s="22"/>
      <c r="E47" s="22"/>
    </row>
    <row r="48" spans="1:5" x14ac:dyDescent="0.25">
      <c r="A48" s="7"/>
      <c r="C48" s="9"/>
      <c r="D48" s="9"/>
      <c r="E48" s="9"/>
    </row>
    <row r="49" spans="1:5" x14ac:dyDescent="0.25">
      <c r="A49" s="7"/>
      <c r="C49" s="9"/>
      <c r="D49" s="9"/>
      <c r="E49" s="9"/>
    </row>
    <row r="50" spans="1:5" x14ac:dyDescent="0.25">
      <c r="A50" s="7"/>
      <c r="C50" s="9"/>
      <c r="D50" s="9"/>
      <c r="E50" s="9"/>
    </row>
    <row r="51" spans="1:5" x14ac:dyDescent="0.25">
      <c r="A51" s="7"/>
      <c r="C51" s="9"/>
      <c r="D51" s="9"/>
      <c r="E51" s="9"/>
    </row>
    <row r="52" spans="1:5" x14ac:dyDescent="0.25">
      <c r="A52" s="7"/>
      <c r="C52" s="9"/>
      <c r="D52" s="9"/>
      <c r="E52" s="9"/>
    </row>
    <row r="53" spans="1:5" x14ac:dyDescent="0.25">
      <c r="A53" s="7"/>
      <c r="C53" s="9"/>
      <c r="D53" s="9"/>
      <c r="E53" s="9"/>
    </row>
    <row r="54" spans="1:5" x14ac:dyDescent="0.25">
      <c r="A54" s="7"/>
      <c r="C54" s="9"/>
      <c r="D54" s="9"/>
      <c r="E54" s="9"/>
    </row>
    <row r="55" spans="1:5" x14ac:dyDescent="0.25">
      <c r="A55" s="7"/>
      <c r="C55" s="9"/>
      <c r="D55" s="9"/>
      <c r="E55" s="9"/>
    </row>
    <row r="56" spans="1:5" x14ac:dyDescent="0.25">
      <c r="A56" s="7"/>
      <c r="C56" s="9"/>
      <c r="D56" s="9"/>
      <c r="E56" s="9"/>
    </row>
    <row r="57" spans="1:5" x14ac:dyDescent="0.25">
      <c r="A57" s="7"/>
      <c r="C57" s="9"/>
      <c r="D57" s="9"/>
      <c r="E57" s="9"/>
    </row>
    <row r="58" spans="1:5" x14ac:dyDescent="0.25">
      <c r="A58" s="7"/>
      <c r="C58" s="9"/>
      <c r="D58" s="9"/>
      <c r="E58" s="9"/>
    </row>
    <row r="59" spans="1:5" x14ac:dyDescent="0.25">
      <c r="A59" s="7"/>
      <c r="C59" s="9"/>
      <c r="D59" s="9"/>
      <c r="E59" s="9"/>
    </row>
    <row r="60" spans="1:5" x14ac:dyDescent="0.25">
      <c r="A60" s="7"/>
      <c r="C60" s="9"/>
      <c r="D60" s="9"/>
      <c r="E60" s="9"/>
    </row>
    <row r="61" spans="1:5" x14ac:dyDescent="0.25">
      <c r="A61" s="7"/>
      <c r="C61" s="9"/>
      <c r="D61" s="9"/>
      <c r="E61" s="9"/>
    </row>
    <row r="62" spans="1:5" x14ac:dyDescent="0.25">
      <c r="A62" s="7"/>
      <c r="C62" s="9"/>
      <c r="D62" s="9"/>
      <c r="E62" s="9"/>
    </row>
    <row r="63" spans="1:5" x14ac:dyDescent="0.25">
      <c r="A63" s="7"/>
      <c r="C63" s="9"/>
      <c r="D63" s="9"/>
      <c r="E63" s="9"/>
    </row>
    <row r="64" spans="1:5" x14ac:dyDescent="0.25">
      <c r="A64" s="7"/>
      <c r="C64" s="9"/>
      <c r="D64" s="9"/>
      <c r="E64" s="9"/>
    </row>
    <row r="65" spans="1:5" x14ac:dyDescent="0.25">
      <c r="A65" s="7"/>
      <c r="C65" s="9"/>
      <c r="D65" s="9"/>
      <c r="E65" s="9"/>
    </row>
    <row r="66" spans="1:5" x14ac:dyDescent="0.25">
      <c r="A66" s="7"/>
      <c r="C66" s="9"/>
      <c r="D66" s="9"/>
      <c r="E66" s="9"/>
    </row>
    <row r="67" spans="1:5" x14ac:dyDescent="0.25">
      <c r="A67" s="7"/>
      <c r="C67" s="9"/>
      <c r="D67" s="9"/>
      <c r="E67" s="9"/>
    </row>
    <row r="68" spans="1:5" x14ac:dyDescent="0.25">
      <c r="A68" s="7"/>
      <c r="C68" s="9"/>
      <c r="D68" s="9"/>
      <c r="E68" s="9"/>
    </row>
    <row r="69" spans="1:5" x14ac:dyDescent="0.25">
      <c r="A69" s="7"/>
      <c r="C69" s="9"/>
      <c r="D69" s="9"/>
      <c r="E69" s="9"/>
    </row>
    <row r="70" spans="1:5" x14ac:dyDescent="0.25">
      <c r="A70" s="7"/>
      <c r="C70" s="9"/>
      <c r="D70" s="9"/>
      <c r="E70" s="9"/>
    </row>
    <row r="71" spans="1:5" x14ac:dyDescent="0.25">
      <c r="A71" s="7"/>
      <c r="C71" s="9"/>
      <c r="D71" s="9"/>
      <c r="E71" s="9"/>
    </row>
    <row r="72" spans="1:5" x14ac:dyDescent="0.25">
      <c r="A72" s="7"/>
      <c r="C72" s="9"/>
      <c r="D72" s="9"/>
      <c r="E72" s="9"/>
    </row>
    <row r="73" spans="1:5" x14ac:dyDescent="0.25">
      <c r="A73" s="7"/>
      <c r="C73" s="9"/>
      <c r="D73" s="9"/>
      <c r="E73" s="9"/>
    </row>
    <row r="74" spans="1:5" x14ac:dyDescent="0.25">
      <c r="A74" s="7"/>
      <c r="C74" s="9"/>
      <c r="D74" s="9"/>
      <c r="E74" s="9"/>
    </row>
    <row r="75" spans="1:5" x14ac:dyDescent="0.25">
      <c r="A75" s="7"/>
      <c r="C75" s="9"/>
      <c r="D75" s="9"/>
      <c r="E75" s="9"/>
    </row>
    <row r="76" spans="1:5" x14ac:dyDescent="0.25">
      <c r="A76" s="7"/>
      <c r="C76" s="9"/>
      <c r="D76" s="9"/>
      <c r="E76" s="9"/>
    </row>
    <row r="77" spans="1:5" x14ac:dyDescent="0.25">
      <c r="A77" s="7"/>
      <c r="C77" s="9"/>
      <c r="D77" s="9"/>
      <c r="E77" s="9"/>
    </row>
    <row r="78" spans="1:5" x14ac:dyDescent="0.25">
      <c r="A78" s="7"/>
      <c r="C78" s="9"/>
      <c r="D78" s="9"/>
      <c r="E78" s="9"/>
    </row>
    <row r="79" spans="1:5" x14ac:dyDescent="0.25">
      <c r="A79" s="7"/>
      <c r="C79" s="9"/>
      <c r="D79" s="9"/>
      <c r="E79" s="9"/>
    </row>
    <row r="80" spans="1:5" x14ac:dyDescent="0.25">
      <c r="A80" s="7"/>
      <c r="C80" s="9"/>
      <c r="D80" s="9"/>
      <c r="E80" s="9"/>
    </row>
    <row r="81" spans="1:5" x14ac:dyDescent="0.25">
      <c r="A81" s="7"/>
      <c r="C81" s="9"/>
      <c r="D81" s="9"/>
      <c r="E81" s="9"/>
    </row>
    <row r="82" spans="1:5" x14ac:dyDescent="0.25">
      <c r="A82" s="7"/>
      <c r="C82" s="9"/>
      <c r="D82" s="9"/>
      <c r="E82" s="9"/>
    </row>
    <row r="83" spans="1:5" x14ac:dyDescent="0.25">
      <c r="A83" s="7"/>
      <c r="C83" s="9"/>
      <c r="D83" s="9"/>
      <c r="E83" s="9"/>
    </row>
    <row r="84" spans="1:5" x14ac:dyDescent="0.25">
      <c r="A84" s="7"/>
      <c r="C84" s="9"/>
      <c r="D84" s="9"/>
      <c r="E84" s="9"/>
    </row>
    <row r="85" spans="1:5" x14ac:dyDescent="0.25">
      <c r="A85" s="7"/>
      <c r="C85" s="9"/>
      <c r="D85" s="9"/>
      <c r="E85" s="9"/>
    </row>
    <row r="86" spans="1:5" x14ac:dyDescent="0.25">
      <c r="A86" s="7"/>
      <c r="C86" s="9"/>
      <c r="D86" s="9"/>
      <c r="E86" s="9"/>
    </row>
    <row r="87" spans="1:5" x14ac:dyDescent="0.25">
      <c r="A87" s="7"/>
      <c r="C87" s="9"/>
      <c r="D87" s="9"/>
      <c r="E87" s="9"/>
    </row>
    <row r="88" spans="1:5" x14ac:dyDescent="0.25">
      <c r="A88" s="7"/>
      <c r="C88" s="9"/>
      <c r="D88" s="9"/>
      <c r="E88" s="9"/>
    </row>
    <row r="89" spans="1:5" x14ac:dyDescent="0.25">
      <c r="A89" s="7"/>
      <c r="C89" s="9"/>
      <c r="D89" s="9"/>
      <c r="E89" s="9"/>
    </row>
    <row r="90" spans="1:5" x14ac:dyDescent="0.25">
      <c r="A90" s="7"/>
      <c r="C90" s="9"/>
      <c r="D90" s="9"/>
      <c r="E90" s="9"/>
    </row>
    <row r="91" spans="1:5" x14ac:dyDescent="0.25">
      <c r="A91" s="7"/>
      <c r="C91" s="9"/>
      <c r="D91" s="9"/>
      <c r="E91" s="9"/>
    </row>
    <row r="92" spans="1:5" x14ac:dyDescent="0.25">
      <c r="A92" s="7"/>
      <c r="C92" s="9"/>
      <c r="D92" s="9"/>
      <c r="E92" s="9"/>
    </row>
    <row r="93" spans="1:5" x14ac:dyDescent="0.25">
      <c r="A93" s="7"/>
      <c r="C93" s="9"/>
      <c r="D93" s="9"/>
      <c r="E93" s="9"/>
    </row>
    <row r="94" spans="1:5" x14ac:dyDescent="0.25">
      <c r="A94" s="7"/>
      <c r="C94" s="9"/>
      <c r="D94" s="9"/>
      <c r="E94" s="9"/>
    </row>
    <row r="95" spans="1:5" x14ac:dyDescent="0.25">
      <c r="A95" s="7"/>
      <c r="C95" s="9"/>
      <c r="D95" s="9"/>
      <c r="E95" s="9"/>
    </row>
    <row r="96" spans="1:5" x14ac:dyDescent="0.25">
      <c r="A96" s="7"/>
      <c r="C96" s="9"/>
      <c r="D96" s="9"/>
      <c r="E96" s="9"/>
    </row>
    <row r="97" spans="1:5" x14ac:dyDescent="0.25">
      <c r="A97" s="7"/>
      <c r="C97" s="9"/>
      <c r="D97" s="9"/>
      <c r="E97" s="9"/>
    </row>
    <row r="98" spans="1:5" x14ac:dyDescent="0.25">
      <c r="A98" s="7"/>
      <c r="C98" s="9"/>
      <c r="D98" s="9"/>
      <c r="E98" s="9"/>
    </row>
    <row r="99" spans="1:5" x14ac:dyDescent="0.25">
      <c r="A99" s="7"/>
      <c r="C99" s="9"/>
      <c r="D99" s="9"/>
      <c r="E99" s="9"/>
    </row>
    <row r="100" spans="1:5" x14ac:dyDescent="0.25">
      <c r="A100" s="7"/>
      <c r="C100" s="9"/>
      <c r="D100" s="9"/>
      <c r="E100" s="9"/>
    </row>
    <row r="101" spans="1:5" x14ac:dyDescent="0.25">
      <c r="A101" s="7"/>
      <c r="C101" s="9"/>
      <c r="D101" s="9"/>
      <c r="E101" s="9"/>
    </row>
    <row r="102" spans="1:5" x14ac:dyDescent="0.25">
      <c r="A102" s="7"/>
      <c r="C102" s="9"/>
      <c r="D102" s="9"/>
      <c r="E102" s="9"/>
    </row>
    <row r="103" spans="1:5" x14ac:dyDescent="0.25">
      <c r="A103" s="7"/>
      <c r="C103" s="9"/>
      <c r="D103" s="9"/>
      <c r="E103" s="9"/>
    </row>
    <row r="104" spans="1:5" x14ac:dyDescent="0.25">
      <c r="A104" s="7"/>
      <c r="C104" s="9"/>
      <c r="D104" s="9"/>
      <c r="E104" s="9"/>
    </row>
    <row r="105" spans="1:5" x14ac:dyDescent="0.25">
      <c r="A105" s="7"/>
      <c r="C105" s="9"/>
      <c r="D105" s="9"/>
      <c r="E105" s="9"/>
    </row>
    <row r="106" spans="1:5" x14ac:dyDescent="0.25">
      <c r="A106" s="7"/>
      <c r="C106" s="9"/>
      <c r="D106" s="9"/>
      <c r="E106" s="9"/>
    </row>
    <row r="107" spans="1:5" x14ac:dyDescent="0.25">
      <c r="A107" s="7"/>
      <c r="C107" s="9"/>
      <c r="D107" s="9"/>
      <c r="E107" s="9"/>
    </row>
    <row r="108" spans="1:5" x14ac:dyDescent="0.25">
      <c r="A108" s="7"/>
      <c r="C108" s="9"/>
      <c r="D108" s="9"/>
      <c r="E108" s="9"/>
    </row>
    <row r="109" spans="1:5" x14ac:dyDescent="0.25">
      <c r="A109" s="7"/>
      <c r="C109" s="9"/>
      <c r="D109" s="9"/>
      <c r="E109" s="9"/>
    </row>
    <row r="110" spans="1:5" x14ac:dyDescent="0.25">
      <c r="A110" s="7"/>
      <c r="C110" s="9"/>
      <c r="D110" s="9"/>
      <c r="E110" s="9"/>
    </row>
    <row r="111" spans="1:5" x14ac:dyDescent="0.25">
      <c r="A111" s="7"/>
      <c r="C111" s="9"/>
      <c r="D111" s="9"/>
      <c r="E111" s="9"/>
    </row>
    <row r="112" spans="1:5" x14ac:dyDescent="0.25">
      <c r="A112" s="7"/>
      <c r="C112" s="9"/>
      <c r="D112" s="9"/>
      <c r="E112" s="9"/>
    </row>
    <row r="113" spans="1:5" x14ac:dyDescent="0.25">
      <c r="A113" s="7"/>
      <c r="C113" s="9"/>
      <c r="D113" s="9"/>
      <c r="E113" s="9"/>
    </row>
    <row r="114" spans="1:5" x14ac:dyDescent="0.25">
      <c r="A114" s="7"/>
      <c r="C114" s="9"/>
      <c r="D114" s="9"/>
      <c r="E114" s="9"/>
    </row>
    <row r="115" spans="1:5" x14ac:dyDescent="0.25">
      <c r="A115" s="7"/>
      <c r="C115" s="9"/>
      <c r="D115" s="9"/>
      <c r="E115" s="9"/>
    </row>
    <row r="116" spans="1:5" x14ac:dyDescent="0.25">
      <c r="A116" s="7"/>
      <c r="C116" s="9"/>
      <c r="D116" s="9"/>
      <c r="E116" s="9"/>
    </row>
    <row r="117" spans="1:5" x14ac:dyDescent="0.25">
      <c r="A117" s="7"/>
      <c r="C117" s="9"/>
      <c r="D117" s="9"/>
      <c r="E117" s="9"/>
    </row>
    <row r="118" spans="1:5" x14ac:dyDescent="0.25">
      <c r="A118" s="7"/>
      <c r="C118" s="9"/>
      <c r="D118" s="9"/>
      <c r="E118" s="9"/>
    </row>
    <row r="119" spans="1:5" x14ac:dyDescent="0.25">
      <c r="A119" s="7"/>
      <c r="C119" s="9"/>
      <c r="D119" s="9"/>
      <c r="E119" s="9"/>
    </row>
    <row r="120" spans="1:5" x14ac:dyDescent="0.25">
      <c r="A120" s="7"/>
      <c r="C120" s="9"/>
      <c r="D120" s="9"/>
      <c r="E120" s="9"/>
    </row>
    <row r="121" spans="1:5" x14ac:dyDescent="0.25">
      <c r="A121" s="7"/>
      <c r="C121" s="9"/>
      <c r="D121" s="9"/>
      <c r="E121" s="9"/>
    </row>
    <row r="122" spans="1:5" x14ac:dyDescent="0.25">
      <c r="A122" s="7"/>
      <c r="C122" s="9"/>
      <c r="D122" s="9"/>
      <c r="E122" s="9"/>
    </row>
    <row r="123" spans="1:5" x14ac:dyDescent="0.25">
      <c r="A123" s="7"/>
      <c r="C123" s="9"/>
      <c r="D123" s="9"/>
      <c r="E123" s="9"/>
    </row>
    <row r="124" spans="1:5" x14ac:dyDescent="0.25">
      <c r="A124" s="7"/>
      <c r="C124" s="9"/>
      <c r="D124" s="9"/>
      <c r="E124" s="9"/>
    </row>
    <row r="125" spans="1:5" x14ac:dyDescent="0.25">
      <c r="A125" s="7"/>
      <c r="C125" s="9"/>
      <c r="D125" s="9"/>
      <c r="E125" s="9"/>
    </row>
    <row r="126" spans="1:5" x14ac:dyDescent="0.25">
      <c r="A126" s="7"/>
      <c r="C126" s="9"/>
      <c r="D126" s="9"/>
      <c r="E126" s="9"/>
    </row>
    <row r="127" spans="1:5" x14ac:dyDescent="0.25">
      <c r="A127" s="7"/>
      <c r="C127" s="9"/>
      <c r="D127" s="9"/>
      <c r="E127" s="9"/>
    </row>
    <row r="128" spans="1:5" x14ac:dyDescent="0.25">
      <c r="A128" s="7"/>
      <c r="C128" s="9"/>
      <c r="D128" s="9"/>
      <c r="E128" s="9"/>
    </row>
    <row r="129" spans="1:5" x14ac:dyDescent="0.25">
      <c r="A129" s="7"/>
      <c r="C129" s="9"/>
      <c r="D129" s="9"/>
      <c r="E129" s="9"/>
    </row>
    <row r="130" spans="1:5" x14ac:dyDescent="0.25">
      <c r="A130" s="7"/>
      <c r="C130" s="9"/>
      <c r="D130" s="9"/>
      <c r="E130" s="9"/>
    </row>
    <row r="131" spans="1:5" x14ac:dyDescent="0.25">
      <c r="A131" s="7"/>
      <c r="C131" s="9"/>
      <c r="D131" s="9"/>
      <c r="E131" s="9"/>
    </row>
    <row r="132" spans="1:5" x14ac:dyDescent="0.25">
      <c r="A132" s="7"/>
      <c r="C132" s="9"/>
      <c r="D132" s="9"/>
      <c r="E132" s="9"/>
    </row>
    <row r="133" spans="1:5" x14ac:dyDescent="0.25">
      <c r="A133" s="7"/>
      <c r="C133" s="9"/>
      <c r="D133" s="9"/>
      <c r="E133" s="9"/>
    </row>
    <row r="134" spans="1:5" x14ac:dyDescent="0.25">
      <c r="A134" s="7"/>
      <c r="C134" s="9"/>
      <c r="D134" s="9"/>
      <c r="E134" s="9"/>
    </row>
    <row r="135" spans="1:5" x14ac:dyDescent="0.25">
      <c r="A135" s="7"/>
      <c r="C135" s="9"/>
      <c r="D135" s="9"/>
      <c r="E135" s="9"/>
    </row>
    <row r="136" spans="1:5" x14ac:dyDescent="0.25">
      <c r="A136" s="7"/>
      <c r="C136" s="9"/>
      <c r="D136" s="9"/>
      <c r="E136" s="9"/>
    </row>
    <row r="137" spans="1:5" x14ac:dyDescent="0.25">
      <c r="A137" s="7"/>
      <c r="C137" s="9"/>
      <c r="D137" s="9"/>
      <c r="E137" s="9"/>
    </row>
    <row r="138" spans="1:5" x14ac:dyDescent="0.25">
      <c r="A138" s="7"/>
      <c r="C138" s="9"/>
      <c r="D138" s="9"/>
      <c r="E138" s="9"/>
    </row>
    <row r="139" spans="1:5" x14ac:dyDescent="0.25">
      <c r="A139" s="7"/>
      <c r="C139" s="9"/>
      <c r="D139" s="9"/>
      <c r="E139" s="9"/>
    </row>
    <row r="140" spans="1:5" x14ac:dyDescent="0.25">
      <c r="A140" s="7"/>
      <c r="C140" s="9"/>
      <c r="D140" s="9"/>
      <c r="E140" s="9"/>
    </row>
    <row r="141" spans="1:5" x14ac:dyDescent="0.25">
      <c r="A141" s="7"/>
      <c r="C141" s="9"/>
      <c r="D141" s="9"/>
      <c r="E141" s="9"/>
    </row>
    <row r="142" spans="1:5" x14ac:dyDescent="0.25">
      <c r="A142" s="7"/>
      <c r="C142" s="9"/>
      <c r="D142" s="9"/>
      <c r="E142" s="9"/>
    </row>
    <row r="143" spans="1:5" x14ac:dyDescent="0.25">
      <c r="A143" s="7"/>
      <c r="C143" s="9"/>
      <c r="D143" s="9"/>
      <c r="E143" s="9"/>
    </row>
    <row r="144" spans="1:5" x14ac:dyDescent="0.25">
      <c r="A144" s="7"/>
      <c r="C144" s="9"/>
      <c r="D144" s="9"/>
      <c r="E144" s="9"/>
    </row>
    <row r="145" spans="1:5" x14ac:dyDescent="0.25">
      <c r="A145" s="7"/>
      <c r="C145" s="9"/>
      <c r="D145" s="9"/>
      <c r="E145" s="9"/>
    </row>
    <row r="146" spans="1:5" x14ac:dyDescent="0.25">
      <c r="A146" s="7"/>
      <c r="C146" s="9"/>
      <c r="D146" s="9"/>
      <c r="E146" s="9"/>
    </row>
    <row r="147" spans="1:5" x14ac:dyDescent="0.25">
      <c r="A147" s="7"/>
      <c r="C147" s="9"/>
      <c r="D147" s="9"/>
      <c r="E147" s="9"/>
    </row>
    <row r="148" spans="1:5" x14ac:dyDescent="0.25">
      <c r="A148" s="7"/>
      <c r="C148" s="9"/>
      <c r="D148" s="9"/>
      <c r="E148" s="9"/>
    </row>
    <row r="149" spans="1:5" x14ac:dyDescent="0.25">
      <c r="A149" s="7"/>
      <c r="C149" s="9"/>
      <c r="D149" s="9"/>
      <c r="E149" s="9"/>
    </row>
    <row r="150" spans="1:5" x14ac:dyDescent="0.25">
      <c r="A150" s="7"/>
      <c r="C150" s="9"/>
      <c r="D150" s="9"/>
      <c r="E150" s="9"/>
    </row>
    <row r="151" spans="1:5" x14ac:dyDescent="0.25">
      <c r="A151" s="7"/>
      <c r="C151" s="9"/>
      <c r="D151" s="9"/>
      <c r="E151" s="9"/>
    </row>
    <row r="152" spans="1:5" x14ac:dyDescent="0.25">
      <c r="A152" s="7"/>
      <c r="C152" s="9"/>
      <c r="D152" s="9"/>
      <c r="E152" s="9"/>
    </row>
    <row r="153" spans="1:5" x14ac:dyDescent="0.25">
      <c r="A153" s="7"/>
      <c r="C153" s="9"/>
      <c r="D153" s="9"/>
      <c r="E153" s="9"/>
    </row>
    <row r="154" spans="1:5" x14ac:dyDescent="0.25">
      <c r="A154" s="7"/>
      <c r="C154" s="9"/>
      <c r="D154" s="9"/>
      <c r="E154" s="9"/>
    </row>
    <row r="155" spans="1:5" x14ac:dyDescent="0.25">
      <c r="A155" s="7"/>
      <c r="C155" s="9"/>
      <c r="D155" s="9"/>
      <c r="E155" s="9"/>
    </row>
    <row r="156" spans="1:5" x14ac:dyDescent="0.25">
      <c r="A156" s="7"/>
      <c r="C156" s="9"/>
      <c r="D156" s="9"/>
      <c r="E156" s="9"/>
    </row>
    <row r="157" spans="1:5" x14ac:dyDescent="0.25">
      <c r="A157" s="7"/>
      <c r="C157" s="9"/>
      <c r="D157" s="9"/>
      <c r="E157" s="9"/>
    </row>
    <row r="158" spans="1:5" x14ac:dyDescent="0.25">
      <c r="A158" s="7"/>
      <c r="C158" s="9"/>
      <c r="D158" s="9"/>
      <c r="E158" s="9"/>
    </row>
    <row r="159" spans="1:5" x14ac:dyDescent="0.25">
      <c r="A159" s="7"/>
      <c r="C159" s="9"/>
      <c r="D159" s="9"/>
      <c r="E159" s="9"/>
    </row>
    <row r="160" spans="1:5" x14ac:dyDescent="0.25">
      <c r="A160" s="7"/>
      <c r="C160" s="9"/>
      <c r="D160" s="9"/>
      <c r="E160" s="9"/>
    </row>
    <row r="161" spans="1:5" x14ac:dyDescent="0.25">
      <c r="A161" s="7"/>
      <c r="C161" s="9"/>
      <c r="D161" s="9"/>
      <c r="E161" s="9"/>
    </row>
    <row r="162" spans="1:5" x14ac:dyDescent="0.25">
      <c r="A162" s="7"/>
      <c r="C162" s="9"/>
      <c r="D162" s="9"/>
      <c r="E162" s="9"/>
    </row>
    <row r="163" spans="1:5" x14ac:dyDescent="0.25">
      <c r="A163" s="7"/>
      <c r="C163" s="9"/>
      <c r="D163" s="9"/>
      <c r="E163" s="9"/>
    </row>
    <row r="164" spans="1:5" x14ac:dyDescent="0.25">
      <c r="A164" s="7"/>
      <c r="C164" s="9"/>
      <c r="D164" s="9"/>
      <c r="E164" s="9"/>
    </row>
    <row r="165" spans="1:5" x14ac:dyDescent="0.25">
      <c r="A165" s="7"/>
      <c r="C165" s="9"/>
      <c r="D165" s="9"/>
      <c r="E165" s="9"/>
    </row>
    <row r="166" spans="1:5" x14ac:dyDescent="0.25">
      <c r="A166" s="7"/>
      <c r="C166" s="9"/>
      <c r="D166" s="9"/>
      <c r="E166" s="9"/>
    </row>
    <row r="167" spans="1:5" x14ac:dyDescent="0.25">
      <c r="A167" s="7"/>
      <c r="C167" s="9"/>
      <c r="D167" s="9"/>
      <c r="E167" s="9"/>
    </row>
    <row r="168" spans="1:5" x14ac:dyDescent="0.25">
      <c r="A168" s="7"/>
      <c r="C168" s="9"/>
      <c r="D168" s="9"/>
      <c r="E168" s="9"/>
    </row>
    <row r="169" spans="1:5" x14ac:dyDescent="0.25">
      <c r="A169" s="7"/>
      <c r="C169" s="9"/>
      <c r="D169" s="9"/>
      <c r="E169" s="9"/>
    </row>
    <row r="170" spans="1:5" x14ac:dyDescent="0.25">
      <c r="A170" s="7"/>
      <c r="C170" s="9"/>
      <c r="D170" s="9"/>
      <c r="E170" s="9"/>
    </row>
    <row r="171" spans="1:5" x14ac:dyDescent="0.25">
      <c r="A171" s="7"/>
      <c r="C171" s="9"/>
      <c r="D171" s="9"/>
      <c r="E171" s="9"/>
    </row>
    <row r="172" spans="1:5" x14ac:dyDescent="0.25">
      <c r="A172" s="7"/>
      <c r="C172" s="9"/>
      <c r="D172" s="9"/>
      <c r="E172" s="9"/>
    </row>
    <row r="173" spans="1:5" x14ac:dyDescent="0.25">
      <c r="A173" s="7"/>
      <c r="C173" s="9"/>
      <c r="D173" s="9"/>
      <c r="E173" s="9"/>
    </row>
    <row r="174" spans="1:5" x14ac:dyDescent="0.25">
      <c r="A174" s="7"/>
      <c r="C174" s="9"/>
      <c r="D174" s="9"/>
      <c r="E174" s="9"/>
    </row>
    <row r="175" spans="1:5" x14ac:dyDescent="0.25">
      <c r="A175" s="7"/>
      <c r="C175" s="9"/>
      <c r="D175" s="9"/>
      <c r="E175" s="9"/>
    </row>
    <row r="176" spans="1:5" x14ac:dyDescent="0.25">
      <c r="A176" s="7"/>
      <c r="C176" s="9"/>
      <c r="D176" s="9"/>
      <c r="E176" s="9"/>
    </row>
    <row r="177" spans="1:5" x14ac:dyDescent="0.25">
      <c r="A177" s="7"/>
      <c r="C177" s="9"/>
      <c r="D177" s="9"/>
      <c r="E177" s="9"/>
    </row>
    <row r="178" spans="1:5" x14ac:dyDescent="0.25">
      <c r="A178" s="7"/>
      <c r="C178" s="9"/>
      <c r="D178" s="9"/>
      <c r="E178" s="9"/>
    </row>
    <row r="179" spans="1:5" x14ac:dyDescent="0.25">
      <c r="A179" s="7"/>
      <c r="C179" s="9"/>
      <c r="D179" s="9"/>
      <c r="E179" s="9"/>
    </row>
    <row r="180" spans="1:5" x14ac:dyDescent="0.25">
      <c r="A180" s="7"/>
      <c r="C180" s="9"/>
      <c r="D180" s="9"/>
      <c r="E180" s="9"/>
    </row>
    <row r="181" spans="1:5" x14ac:dyDescent="0.25">
      <c r="A181" s="7"/>
      <c r="C181" s="9"/>
      <c r="D181" s="9"/>
      <c r="E181" s="9"/>
    </row>
    <row r="182" spans="1:5" x14ac:dyDescent="0.25">
      <c r="A182" s="7"/>
      <c r="C182" s="9"/>
      <c r="D182" s="9"/>
      <c r="E182" s="9"/>
    </row>
    <row r="183" spans="1:5" x14ac:dyDescent="0.25">
      <c r="A183" s="7"/>
      <c r="C183" s="5"/>
      <c r="D183" s="5"/>
      <c r="E183" s="5"/>
    </row>
    <row r="184" spans="1:5" x14ac:dyDescent="0.25">
      <c r="A184" s="7" t="s">
        <v>34</v>
      </c>
      <c r="C184" s="5"/>
      <c r="D184" s="5"/>
      <c r="E184" s="5"/>
    </row>
    <row r="185" spans="1:5" ht="79.5" customHeight="1" x14ac:dyDescent="0.25">
      <c r="A185" s="79" t="s">
        <v>35</v>
      </c>
      <c r="B185" s="79"/>
      <c r="C185" s="79"/>
      <c r="D185" s="79"/>
      <c r="E185" s="79"/>
    </row>
    <row r="186" spans="1:5" x14ac:dyDescent="0.25">
      <c r="A186" s="3"/>
      <c r="C186" s="5"/>
      <c r="D186" s="5"/>
      <c r="E186" s="5"/>
    </row>
    <row r="187" spans="1:5" x14ac:dyDescent="0.25">
      <c r="A187" s="3"/>
      <c r="C187" s="5"/>
      <c r="D187" s="5"/>
      <c r="E187" s="5"/>
    </row>
    <row r="188" spans="1:5" x14ac:dyDescent="0.25">
      <c r="A188" s="3"/>
      <c r="C188" s="5"/>
      <c r="D188" s="5"/>
      <c r="E188" s="5"/>
    </row>
    <row r="189" spans="1:5" x14ac:dyDescent="0.25">
      <c r="A189" s="3"/>
      <c r="C189" s="5"/>
      <c r="D189" s="5"/>
      <c r="E189" s="5"/>
    </row>
    <row r="190" spans="1:5" x14ac:dyDescent="0.25">
      <c r="A190" s="3"/>
      <c r="C190" s="5"/>
      <c r="D190" s="5"/>
      <c r="E190" s="5"/>
    </row>
    <row r="191" spans="1:5" x14ac:dyDescent="0.25">
      <c r="A191" s="3"/>
      <c r="C191" s="5"/>
      <c r="D191" s="5"/>
      <c r="E191" s="5"/>
    </row>
    <row r="192" spans="1:5" x14ac:dyDescent="0.25">
      <c r="A192" s="3"/>
      <c r="C192" s="5"/>
      <c r="D192" s="5"/>
      <c r="E192" s="5"/>
    </row>
    <row r="193" spans="1:5" x14ac:dyDescent="0.25">
      <c r="A193" s="3"/>
      <c r="C193" s="5"/>
      <c r="D193" s="5"/>
      <c r="E193" s="5"/>
    </row>
    <row r="194" spans="1:5" x14ac:dyDescent="0.25">
      <c r="A194" s="3"/>
      <c r="C194" s="5"/>
      <c r="D194" s="5"/>
      <c r="E194" s="5"/>
    </row>
    <row r="195" spans="1:5" x14ac:dyDescent="0.25">
      <c r="A195" s="3"/>
      <c r="C195" s="5"/>
      <c r="D195" s="5"/>
      <c r="E195" s="5"/>
    </row>
    <row r="196" spans="1:5" x14ac:dyDescent="0.25">
      <c r="A196" s="3"/>
      <c r="C196" s="5"/>
      <c r="D196" s="5"/>
      <c r="E196" s="5"/>
    </row>
    <row r="197" spans="1:5" x14ac:dyDescent="0.25">
      <c r="A197" s="3"/>
      <c r="C197" s="5"/>
      <c r="D197" s="5"/>
      <c r="E197" s="5"/>
    </row>
    <row r="198" spans="1:5" x14ac:dyDescent="0.25">
      <c r="C198" s="5"/>
      <c r="D198" s="5"/>
      <c r="E198" s="5"/>
    </row>
    <row r="199" spans="1:5" x14ac:dyDescent="0.25">
      <c r="A199" s="3"/>
      <c r="C199" s="5"/>
      <c r="D199" s="5"/>
      <c r="E199" s="5"/>
    </row>
    <row r="200" spans="1:5" x14ac:dyDescent="0.25">
      <c r="A200" s="3"/>
      <c r="C200" s="5"/>
      <c r="D200" s="5"/>
      <c r="E200" s="5"/>
    </row>
    <row r="201" spans="1:5" x14ac:dyDescent="0.25">
      <c r="A201" s="3"/>
      <c r="C201" s="5"/>
      <c r="D201" s="5"/>
      <c r="E201" s="5"/>
    </row>
    <row r="202" spans="1:5" x14ac:dyDescent="0.25">
      <c r="A202" s="3"/>
      <c r="C202" s="5"/>
      <c r="D202" s="5"/>
      <c r="E202" s="5"/>
    </row>
    <row r="203" spans="1:5" x14ac:dyDescent="0.25">
      <c r="A203" s="3"/>
      <c r="C203" s="5"/>
      <c r="D203" s="5"/>
      <c r="E203" s="5"/>
    </row>
    <row r="204" spans="1:5" x14ac:dyDescent="0.25">
      <c r="A204" s="3"/>
      <c r="C204" s="5"/>
      <c r="D204" s="5"/>
      <c r="E204" s="5"/>
    </row>
    <row r="205" spans="1:5" x14ac:dyDescent="0.25">
      <c r="A205" s="3"/>
      <c r="C205" s="5"/>
      <c r="D205" s="5"/>
      <c r="E205" s="5"/>
    </row>
    <row r="206" spans="1:5" x14ac:dyDescent="0.25">
      <c r="A206" s="3"/>
      <c r="C206" s="5"/>
      <c r="D206" s="5"/>
      <c r="E206" s="5"/>
    </row>
    <row r="207" spans="1:5" x14ac:dyDescent="0.25">
      <c r="A207" s="3"/>
      <c r="C207" s="5"/>
      <c r="D207" s="5"/>
      <c r="E207" s="5"/>
    </row>
    <row r="208" spans="1:5" x14ac:dyDescent="0.25">
      <c r="A208" s="3"/>
      <c r="C208" s="5"/>
      <c r="D208" s="5"/>
      <c r="E208" s="5"/>
    </row>
    <row r="209" spans="1:5" x14ac:dyDescent="0.25">
      <c r="A209" s="3"/>
      <c r="C209" s="5"/>
      <c r="D209" s="5"/>
      <c r="E209" s="5"/>
    </row>
    <row r="210" spans="1:5" x14ac:dyDescent="0.25">
      <c r="A210" s="3"/>
      <c r="C210" s="5"/>
      <c r="D210" s="5"/>
      <c r="E210" s="5"/>
    </row>
    <row r="211" spans="1:5" x14ac:dyDescent="0.25">
      <c r="A211" s="3"/>
      <c r="C211" s="5"/>
      <c r="D211" s="5"/>
      <c r="E211" s="5"/>
    </row>
    <row r="212" spans="1:5" x14ac:dyDescent="0.25">
      <c r="A212" s="3"/>
      <c r="C212" s="5"/>
      <c r="D212" s="5"/>
      <c r="E212" s="5"/>
    </row>
    <row r="213" spans="1:5" x14ac:dyDescent="0.25">
      <c r="A213" s="3"/>
      <c r="C213" s="5"/>
      <c r="D213" s="5"/>
      <c r="E213" s="5"/>
    </row>
    <row r="214" spans="1:5" x14ac:dyDescent="0.25">
      <c r="A214" s="3"/>
      <c r="C214" s="5"/>
      <c r="D214" s="5"/>
      <c r="E214" s="5"/>
    </row>
    <row r="215" spans="1:5" x14ac:dyDescent="0.25">
      <c r="A215" s="3"/>
      <c r="C215" s="5"/>
      <c r="D215" s="5"/>
      <c r="E215" s="5"/>
    </row>
    <row r="216" spans="1:5" x14ac:dyDescent="0.25">
      <c r="A216" s="3"/>
      <c r="C216" s="5"/>
      <c r="D216" s="5"/>
      <c r="E216" s="5"/>
    </row>
    <row r="217" spans="1:5" x14ac:dyDescent="0.25">
      <c r="A217" s="3"/>
      <c r="C217" s="5"/>
      <c r="D217" s="5"/>
      <c r="E217" s="5"/>
    </row>
    <row r="218" spans="1:5" x14ac:dyDescent="0.25">
      <c r="A218" s="3"/>
      <c r="C218" s="5"/>
      <c r="D218" s="5"/>
      <c r="E218" s="5"/>
    </row>
    <row r="219" spans="1:5" x14ac:dyDescent="0.25">
      <c r="A219" s="3"/>
      <c r="C219" s="5"/>
      <c r="D219" s="5"/>
      <c r="E219" s="5"/>
    </row>
    <row r="220" spans="1:5" x14ac:dyDescent="0.25">
      <c r="C220" s="5"/>
      <c r="D220" s="5"/>
      <c r="E220" s="5"/>
    </row>
    <row r="221" spans="1:5" x14ac:dyDescent="0.25">
      <c r="A221" s="3"/>
      <c r="C221" s="5"/>
      <c r="D221" s="5"/>
      <c r="E221" s="5"/>
    </row>
    <row r="222" spans="1:5" x14ac:dyDescent="0.25">
      <c r="A222" s="3"/>
      <c r="C222" s="5"/>
      <c r="D222" s="5"/>
      <c r="E222" s="5"/>
    </row>
    <row r="223" spans="1:5" x14ac:dyDescent="0.25">
      <c r="A223" s="3"/>
      <c r="C223" s="5"/>
      <c r="D223" s="5"/>
      <c r="E223" s="5"/>
    </row>
    <row r="224" spans="1:5" x14ac:dyDescent="0.25">
      <c r="A224" s="3"/>
      <c r="C224" s="5"/>
      <c r="D224" s="5"/>
      <c r="E224" s="5"/>
    </row>
    <row r="225" spans="1:5" x14ac:dyDescent="0.25">
      <c r="A225" s="3"/>
      <c r="C225" s="5"/>
      <c r="D225" s="5"/>
      <c r="E225" s="5"/>
    </row>
    <row r="226" spans="1:5" x14ac:dyDescent="0.25">
      <c r="A226" s="3"/>
      <c r="C226" s="5"/>
      <c r="D226" s="5"/>
      <c r="E226" s="5"/>
    </row>
    <row r="227" spans="1:5" x14ac:dyDescent="0.25">
      <c r="A227" s="3"/>
      <c r="C227" s="5"/>
      <c r="D227" s="5"/>
      <c r="E227" s="5"/>
    </row>
    <row r="228" spans="1:5" x14ac:dyDescent="0.25">
      <c r="A228" s="3"/>
      <c r="C228" s="5"/>
      <c r="D228" s="5"/>
      <c r="E228" s="5"/>
    </row>
    <row r="229" spans="1:5" x14ac:dyDescent="0.25">
      <c r="A229" s="3"/>
      <c r="C229" s="5"/>
      <c r="D229" s="5"/>
      <c r="E229" s="5"/>
    </row>
    <row r="230" spans="1:5" x14ac:dyDescent="0.25">
      <c r="A230" s="3"/>
      <c r="C230" s="5"/>
      <c r="D230" s="5"/>
      <c r="E230" s="5"/>
    </row>
    <row r="231" spans="1:5" x14ac:dyDescent="0.25">
      <c r="A231" s="3"/>
      <c r="C231" s="5"/>
      <c r="D231" s="5"/>
      <c r="E231" s="5"/>
    </row>
    <row r="232" spans="1:5" x14ac:dyDescent="0.25">
      <c r="A232" s="3"/>
      <c r="C232" s="5"/>
      <c r="D232" s="5"/>
      <c r="E232" s="5"/>
    </row>
    <row r="233" spans="1:5" x14ac:dyDescent="0.25">
      <c r="A233" s="3"/>
      <c r="C233" s="5"/>
      <c r="D233" s="5"/>
      <c r="E233" s="5"/>
    </row>
    <row r="234" spans="1:5" x14ac:dyDescent="0.25">
      <c r="A234" s="3"/>
      <c r="C234" s="5"/>
      <c r="D234" s="5"/>
      <c r="E234" s="5"/>
    </row>
    <row r="235" spans="1:5" x14ac:dyDescent="0.25">
      <c r="A235" s="3"/>
      <c r="C235" s="5"/>
      <c r="D235" s="5"/>
      <c r="E235" s="5"/>
    </row>
    <row r="236" spans="1:5" x14ac:dyDescent="0.25">
      <c r="A236" s="3"/>
      <c r="C236" s="5"/>
      <c r="D236" s="5"/>
      <c r="E236" s="5"/>
    </row>
    <row r="237" spans="1:5" x14ac:dyDescent="0.25">
      <c r="A237" s="3"/>
      <c r="C237" s="5"/>
      <c r="D237" s="5"/>
      <c r="E237" s="5"/>
    </row>
    <row r="238" spans="1:5" x14ac:dyDescent="0.25">
      <c r="A238" s="3"/>
      <c r="C238" s="5"/>
      <c r="D238" s="5"/>
      <c r="E238" s="5"/>
    </row>
    <row r="239" spans="1:5" x14ac:dyDescent="0.25">
      <c r="A239" s="3"/>
      <c r="C239" s="5"/>
      <c r="D239" s="5"/>
      <c r="E239" s="5"/>
    </row>
    <row r="240" spans="1:5" x14ac:dyDescent="0.25">
      <c r="A240" s="3"/>
      <c r="C240" s="5"/>
      <c r="D240" s="5"/>
      <c r="E240" s="5"/>
    </row>
    <row r="241" spans="1:5" x14ac:dyDescent="0.25">
      <c r="A241" s="3"/>
      <c r="C241" s="5"/>
      <c r="D241" s="5"/>
      <c r="E241" s="5"/>
    </row>
    <row r="242" spans="1:5" x14ac:dyDescent="0.25">
      <c r="C242" s="5"/>
      <c r="D242" s="5"/>
      <c r="E242" s="5"/>
    </row>
    <row r="243" spans="1:5" x14ac:dyDescent="0.25">
      <c r="A243" s="3"/>
      <c r="C243" s="5"/>
      <c r="D243" s="5"/>
      <c r="E243" s="5"/>
    </row>
    <row r="244" spans="1:5" x14ac:dyDescent="0.25">
      <c r="A244" s="3"/>
      <c r="C244" s="5"/>
      <c r="D244" s="5"/>
      <c r="E244" s="5"/>
    </row>
    <row r="245" spans="1:5" x14ac:dyDescent="0.25">
      <c r="A245" s="3"/>
      <c r="C245" s="5"/>
      <c r="D245" s="5"/>
      <c r="E245" s="5"/>
    </row>
    <row r="246" spans="1:5" x14ac:dyDescent="0.25">
      <c r="A246" s="3"/>
      <c r="C246" s="5"/>
      <c r="D246" s="5"/>
      <c r="E246" s="5"/>
    </row>
    <row r="247" spans="1:5" x14ac:dyDescent="0.25">
      <c r="A247" s="3"/>
      <c r="C247" s="5"/>
      <c r="D247" s="5"/>
      <c r="E247" s="5"/>
    </row>
    <row r="248" spans="1:5" x14ac:dyDescent="0.25">
      <c r="A248" s="3"/>
      <c r="C248" s="5"/>
      <c r="D248" s="5"/>
      <c r="E248" s="5"/>
    </row>
    <row r="249" spans="1:5" x14ac:dyDescent="0.25">
      <c r="A249" s="3"/>
      <c r="C249" s="5"/>
      <c r="D249" s="5"/>
      <c r="E249" s="5"/>
    </row>
    <row r="250" spans="1:5" x14ac:dyDescent="0.25">
      <c r="A250" s="3"/>
      <c r="C250" s="5"/>
      <c r="D250" s="5"/>
      <c r="E250" s="5"/>
    </row>
    <row r="251" spans="1:5" x14ac:dyDescent="0.25">
      <c r="A251" s="3"/>
      <c r="C251" s="5"/>
      <c r="D251" s="5"/>
      <c r="E251" s="5"/>
    </row>
    <row r="252" spans="1:5" x14ac:dyDescent="0.25">
      <c r="A252" s="3"/>
      <c r="C252" s="5"/>
      <c r="D252" s="5"/>
      <c r="E252" s="5"/>
    </row>
    <row r="253" spans="1:5" x14ac:dyDescent="0.25">
      <c r="A253" s="3"/>
      <c r="C253" s="5"/>
      <c r="D253" s="5"/>
      <c r="E253" s="5"/>
    </row>
    <row r="254" spans="1:5" x14ac:dyDescent="0.25">
      <c r="A254" s="3"/>
      <c r="C254" s="5"/>
      <c r="D254" s="5"/>
      <c r="E254" s="5"/>
    </row>
    <row r="255" spans="1:5" x14ac:dyDescent="0.25">
      <c r="A255" s="3"/>
      <c r="C255" s="5"/>
      <c r="D255" s="5"/>
      <c r="E255" s="5"/>
    </row>
    <row r="256" spans="1:5" x14ac:dyDescent="0.25">
      <c r="A256" s="3"/>
      <c r="C256" s="5"/>
      <c r="D256" s="5"/>
      <c r="E256" s="5"/>
    </row>
    <row r="257" spans="1:5" x14ac:dyDescent="0.25">
      <c r="A257" s="3"/>
      <c r="C257" s="5"/>
      <c r="D257" s="5"/>
      <c r="E257" s="5"/>
    </row>
    <row r="258" spans="1:5" x14ac:dyDescent="0.25">
      <c r="A258" s="3"/>
      <c r="C258" s="5"/>
      <c r="D258" s="5"/>
      <c r="E258" s="5"/>
    </row>
    <row r="259" spans="1:5" x14ac:dyDescent="0.25">
      <c r="A259" s="3"/>
      <c r="C259" s="5"/>
      <c r="D259" s="5"/>
      <c r="E259" s="5"/>
    </row>
    <row r="260" spans="1:5" x14ac:dyDescent="0.25">
      <c r="A260" s="3"/>
      <c r="C260" s="5"/>
      <c r="D260" s="5"/>
      <c r="E260" s="5"/>
    </row>
    <row r="261" spans="1:5" x14ac:dyDescent="0.25">
      <c r="A261" s="3"/>
      <c r="C261" s="5"/>
      <c r="D261" s="5"/>
      <c r="E261" s="5"/>
    </row>
    <row r="262" spans="1:5" x14ac:dyDescent="0.25">
      <c r="A262" s="3"/>
      <c r="C262" s="5"/>
      <c r="D262" s="5"/>
      <c r="E262" s="5"/>
    </row>
    <row r="263" spans="1:5" x14ac:dyDescent="0.25">
      <c r="A263" s="3"/>
      <c r="C263" s="5"/>
      <c r="D263" s="5"/>
      <c r="E263" s="5"/>
    </row>
    <row r="264" spans="1:5" x14ac:dyDescent="0.25">
      <c r="C264" s="5"/>
      <c r="D264" s="5"/>
      <c r="E264" s="5"/>
    </row>
    <row r="265" spans="1:5" x14ac:dyDescent="0.25">
      <c r="A265" s="3"/>
      <c r="C265" s="5"/>
      <c r="D265" s="5"/>
      <c r="E265" s="5"/>
    </row>
    <row r="266" spans="1:5" x14ac:dyDescent="0.25">
      <c r="A266" s="3"/>
      <c r="C266" s="5"/>
      <c r="D266" s="5"/>
      <c r="E266" s="5"/>
    </row>
    <row r="267" spans="1:5" x14ac:dyDescent="0.25">
      <c r="A267" s="3"/>
      <c r="C267" s="5"/>
      <c r="D267" s="5"/>
      <c r="E267" s="5"/>
    </row>
    <row r="268" spans="1:5" x14ac:dyDescent="0.25">
      <c r="A268" s="3"/>
      <c r="C268" s="5"/>
      <c r="D268" s="5"/>
      <c r="E268" s="5"/>
    </row>
    <row r="269" spans="1:5" x14ac:dyDescent="0.25">
      <c r="A269" s="3"/>
      <c r="C269" s="5"/>
      <c r="D269" s="5"/>
      <c r="E269" s="5"/>
    </row>
    <row r="270" spans="1:5" x14ac:dyDescent="0.25">
      <c r="A270" s="3"/>
      <c r="C270" s="5"/>
      <c r="D270" s="5"/>
      <c r="E270" s="5"/>
    </row>
    <row r="271" spans="1:5" x14ac:dyDescent="0.25">
      <c r="A271" s="3"/>
      <c r="C271" s="5"/>
      <c r="D271" s="5"/>
      <c r="E271" s="5"/>
    </row>
    <row r="272" spans="1:5" x14ac:dyDescent="0.25">
      <c r="A272" s="3"/>
      <c r="C272" s="5"/>
      <c r="D272" s="5"/>
      <c r="E272" s="5"/>
    </row>
    <row r="273" spans="1:5" x14ac:dyDescent="0.25">
      <c r="A273" s="3"/>
      <c r="C273" s="5"/>
      <c r="D273" s="5"/>
      <c r="E273" s="5"/>
    </row>
    <row r="274" spans="1:5" x14ac:dyDescent="0.25">
      <c r="A274" s="3"/>
      <c r="C274" s="5"/>
      <c r="D274" s="5"/>
      <c r="E274" s="5"/>
    </row>
    <row r="275" spans="1:5" x14ac:dyDescent="0.25">
      <c r="A275" s="3"/>
      <c r="C275" s="5"/>
      <c r="D275" s="5"/>
      <c r="E275" s="5"/>
    </row>
    <row r="276" spans="1:5" x14ac:dyDescent="0.25">
      <c r="A276" s="3"/>
      <c r="C276" s="5"/>
      <c r="D276" s="5"/>
      <c r="E276" s="5"/>
    </row>
    <row r="277" spans="1:5" x14ac:dyDescent="0.25">
      <c r="A277" s="3"/>
      <c r="C277" s="5"/>
      <c r="D277" s="5"/>
      <c r="E277" s="5"/>
    </row>
    <row r="278" spans="1:5" x14ac:dyDescent="0.25">
      <c r="A278" s="3"/>
      <c r="C278" s="5"/>
      <c r="D278" s="5"/>
      <c r="E278" s="5"/>
    </row>
    <row r="279" spans="1:5" x14ac:dyDescent="0.25">
      <c r="A279" s="3"/>
      <c r="C279" s="5"/>
      <c r="D279" s="5"/>
      <c r="E279" s="5"/>
    </row>
    <row r="280" spans="1:5" x14ac:dyDescent="0.25">
      <c r="A280" s="3"/>
      <c r="C280" s="5"/>
      <c r="D280" s="5"/>
      <c r="E280" s="5"/>
    </row>
    <row r="281" spans="1:5" x14ac:dyDescent="0.25">
      <c r="A281" s="3"/>
      <c r="C281" s="5"/>
      <c r="D281" s="5"/>
      <c r="E281" s="5"/>
    </row>
    <row r="282" spans="1:5" x14ac:dyDescent="0.25">
      <c r="A282" s="3"/>
      <c r="C282" s="5"/>
      <c r="D282" s="5"/>
      <c r="E282" s="5"/>
    </row>
    <row r="283" spans="1:5" x14ac:dyDescent="0.25">
      <c r="A283" s="3"/>
      <c r="C283" s="5"/>
      <c r="D283" s="5"/>
      <c r="E283" s="5"/>
    </row>
    <row r="284" spans="1:5" x14ac:dyDescent="0.25">
      <c r="A284" s="3"/>
      <c r="C284" s="5"/>
      <c r="D284" s="5"/>
      <c r="E284" s="5"/>
    </row>
    <row r="285" spans="1:5" x14ac:dyDescent="0.25">
      <c r="A285" s="3"/>
      <c r="C285" s="5"/>
      <c r="D285" s="5"/>
      <c r="E285" s="5"/>
    </row>
    <row r="286" spans="1:5" x14ac:dyDescent="0.25">
      <c r="C286" s="5"/>
      <c r="D286" s="5"/>
      <c r="E286" s="5"/>
    </row>
    <row r="287" spans="1:5" x14ac:dyDescent="0.25">
      <c r="A287" s="3"/>
      <c r="C287" s="5"/>
      <c r="D287" s="5"/>
      <c r="E287" s="5"/>
    </row>
    <row r="288" spans="1:5" x14ac:dyDescent="0.25">
      <c r="A288" s="3"/>
      <c r="C288" s="5"/>
      <c r="D288" s="5"/>
      <c r="E288" s="5"/>
    </row>
    <row r="289" spans="1:5" x14ac:dyDescent="0.25">
      <c r="A289" s="3"/>
      <c r="C289" s="5"/>
      <c r="D289" s="5"/>
      <c r="E289" s="5"/>
    </row>
    <row r="290" spans="1:5" x14ac:dyDescent="0.25">
      <c r="A290" s="3"/>
      <c r="C290" s="5"/>
      <c r="D290" s="5"/>
      <c r="E290" s="5"/>
    </row>
    <row r="291" spans="1:5" x14ac:dyDescent="0.25">
      <c r="A291" s="3"/>
      <c r="C291" s="5"/>
      <c r="D291" s="5"/>
      <c r="E291" s="5"/>
    </row>
    <row r="292" spans="1:5" x14ac:dyDescent="0.25">
      <c r="A292" s="3"/>
      <c r="C292" s="5"/>
      <c r="D292" s="5"/>
      <c r="E292" s="5"/>
    </row>
    <row r="293" spans="1:5" x14ac:dyDescent="0.25">
      <c r="A293" s="3"/>
      <c r="C293" s="5"/>
      <c r="D293" s="5"/>
      <c r="E293" s="5"/>
    </row>
    <row r="294" spans="1:5" x14ac:dyDescent="0.25">
      <c r="A294" s="3"/>
      <c r="C294" s="5"/>
      <c r="D294" s="5"/>
      <c r="E294" s="5"/>
    </row>
    <row r="295" spans="1:5" x14ac:dyDescent="0.25">
      <c r="A295" s="3"/>
      <c r="C295" s="5"/>
      <c r="D295" s="5"/>
      <c r="E295" s="5"/>
    </row>
    <row r="296" spans="1:5" x14ac:dyDescent="0.25">
      <c r="A296" s="3"/>
      <c r="C296" s="5"/>
      <c r="D296" s="5"/>
      <c r="E296" s="5"/>
    </row>
    <row r="297" spans="1:5" x14ac:dyDescent="0.25">
      <c r="A297" s="3"/>
      <c r="C297" s="5"/>
      <c r="D297" s="5"/>
      <c r="E297" s="5"/>
    </row>
    <row r="298" spans="1:5" x14ac:dyDescent="0.25">
      <c r="A298" s="3"/>
      <c r="C298" s="5"/>
      <c r="D298" s="5"/>
      <c r="E298" s="5"/>
    </row>
    <row r="299" spans="1:5" x14ac:dyDescent="0.25">
      <c r="A299" s="3"/>
      <c r="C299" s="5"/>
      <c r="D299" s="5"/>
      <c r="E299" s="5"/>
    </row>
    <row r="300" spans="1:5" x14ac:dyDescent="0.25">
      <c r="A300" s="3"/>
      <c r="C300" s="5"/>
      <c r="D300" s="5"/>
      <c r="E300" s="5"/>
    </row>
    <row r="301" spans="1:5" x14ac:dyDescent="0.25">
      <c r="A301" s="3"/>
      <c r="C301" s="5"/>
      <c r="D301" s="5"/>
      <c r="E301" s="5"/>
    </row>
    <row r="302" spans="1:5" x14ac:dyDescent="0.25">
      <c r="A302" s="3"/>
      <c r="C302" s="5"/>
      <c r="D302" s="5"/>
      <c r="E302" s="5"/>
    </row>
    <row r="303" spans="1:5" x14ac:dyDescent="0.25">
      <c r="A303" s="3"/>
      <c r="C303" s="5"/>
      <c r="D303" s="5"/>
      <c r="E303" s="5"/>
    </row>
    <row r="304" spans="1:5" x14ac:dyDescent="0.25">
      <c r="A304" s="3"/>
      <c r="C304" s="5"/>
      <c r="D304" s="5"/>
      <c r="E304" s="5"/>
    </row>
    <row r="305" spans="1:5" x14ac:dyDescent="0.25">
      <c r="A305" s="3"/>
      <c r="C305" s="5"/>
      <c r="D305" s="5"/>
      <c r="E305" s="5"/>
    </row>
    <row r="306" spans="1:5" x14ac:dyDescent="0.25">
      <c r="A306" s="3"/>
      <c r="C306" s="5"/>
      <c r="D306" s="5"/>
      <c r="E306" s="5"/>
    </row>
    <row r="307" spans="1:5" x14ac:dyDescent="0.25">
      <c r="A307" s="3"/>
      <c r="C307" s="5"/>
      <c r="D307" s="5"/>
      <c r="E307" s="5"/>
    </row>
    <row r="308" spans="1:5" x14ac:dyDescent="0.25">
      <c r="C308" s="5"/>
      <c r="D308" s="5"/>
      <c r="E308" s="5"/>
    </row>
    <row r="309" spans="1:5" x14ac:dyDescent="0.25">
      <c r="A309" s="3"/>
      <c r="C309" s="5"/>
      <c r="D309" s="5"/>
      <c r="E309" s="5"/>
    </row>
    <row r="310" spans="1:5" x14ac:dyDescent="0.25">
      <c r="A310" s="3"/>
      <c r="C310" s="5"/>
      <c r="D310" s="5"/>
      <c r="E310" s="5"/>
    </row>
    <row r="311" spans="1:5" x14ac:dyDescent="0.25">
      <c r="A311" s="3"/>
      <c r="C311" s="5"/>
      <c r="D311" s="5"/>
      <c r="E311" s="5"/>
    </row>
    <row r="312" spans="1:5" x14ac:dyDescent="0.25">
      <c r="A312" s="3"/>
      <c r="C312" s="5"/>
      <c r="D312" s="5"/>
      <c r="E312" s="5"/>
    </row>
    <row r="313" spans="1:5" x14ac:dyDescent="0.25">
      <c r="A313" s="3"/>
      <c r="C313" s="5"/>
      <c r="D313" s="5"/>
      <c r="E313" s="5"/>
    </row>
    <row r="314" spans="1:5" x14ac:dyDescent="0.25">
      <c r="A314" s="3"/>
      <c r="C314" s="5"/>
      <c r="D314" s="5"/>
      <c r="E314" s="5"/>
    </row>
    <row r="315" spans="1:5" x14ac:dyDescent="0.25">
      <c r="A315" s="3"/>
      <c r="C315" s="5"/>
      <c r="D315" s="5"/>
      <c r="E315" s="5"/>
    </row>
    <row r="316" spans="1:5" x14ac:dyDescent="0.25">
      <c r="A316" s="3"/>
      <c r="C316" s="5"/>
      <c r="D316" s="5"/>
      <c r="E316" s="5"/>
    </row>
    <row r="317" spans="1:5" x14ac:dyDescent="0.25">
      <c r="A317" s="3"/>
      <c r="C317" s="5"/>
      <c r="D317" s="5"/>
      <c r="E317" s="5"/>
    </row>
    <row r="318" spans="1:5" x14ac:dyDescent="0.25">
      <c r="A318" s="3"/>
      <c r="C318" s="5"/>
      <c r="D318" s="5"/>
      <c r="E318" s="5"/>
    </row>
    <row r="319" spans="1:5" x14ac:dyDescent="0.25">
      <c r="A319" s="3"/>
      <c r="C319" s="5"/>
      <c r="D319" s="5"/>
      <c r="E319" s="5"/>
    </row>
    <row r="320" spans="1:5" x14ac:dyDescent="0.25">
      <c r="A320" s="3"/>
      <c r="C320" s="5"/>
      <c r="D320" s="5"/>
      <c r="E320" s="5"/>
    </row>
    <row r="321" spans="1:5" x14ac:dyDescent="0.25">
      <c r="A321" s="3"/>
      <c r="C321" s="5"/>
      <c r="D321" s="5"/>
      <c r="E321" s="5"/>
    </row>
    <row r="322" spans="1:5" x14ac:dyDescent="0.25">
      <c r="A322" s="3"/>
      <c r="C322" s="5"/>
      <c r="D322" s="5"/>
      <c r="E322" s="5"/>
    </row>
    <row r="323" spans="1:5" x14ac:dyDescent="0.25">
      <c r="A323" s="3"/>
      <c r="C323" s="5"/>
      <c r="D323" s="5"/>
      <c r="E323" s="5"/>
    </row>
    <row r="324" spans="1:5" x14ac:dyDescent="0.25">
      <c r="A324" s="3"/>
      <c r="C324" s="5"/>
      <c r="D324" s="5"/>
      <c r="E324" s="5"/>
    </row>
    <row r="325" spans="1:5" x14ac:dyDescent="0.25">
      <c r="A325" s="3"/>
      <c r="C325" s="5"/>
      <c r="D325" s="5"/>
      <c r="E325" s="5"/>
    </row>
    <row r="326" spans="1:5" x14ac:dyDescent="0.25">
      <c r="A326" s="3"/>
      <c r="C326" s="5"/>
      <c r="D326" s="5"/>
      <c r="E326" s="5"/>
    </row>
    <row r="327" spans="1:5" x14ac:dyDescent="0.25">
      <c r="A327" s="3"/>
      <c r="C327" s="5"/>
      <c r="D327" s="5"/>
      <c r="E327" s="5"/>
    </row>
    <row r="328" spans="1:5" x14ac:dyDescent="0.25">
      <c r="A328" s="3"/>
      <c r="C328" s="5"/>
      <c r="D328" s="5"/>
      <c r="E328" s="5"/>
    </row>
    <row r="329" spans="1:5" x14ac:dyDescent="0.25">
      <c r="A329" s="3"/>
      <c r="C329" s="5"/>
      <c r="D329" s="5"/>
      <c r="E329" s="5"/>
    </row>
    <row r="330" spans="1:5" x14ac:dyDescent="0.25">
      <c r="C330" s="5"/>
      <c r="D330" s="5"/>
      <c r="E330" s="5"/>
    </row>
    <row r="331" spans="1:5" x14ac:dyDescent="0.25">
      <c r="A331" s="3"/>
      <c r="C331" s="5"/>
      <c r="D331" s="5"/>
      <c r="E331" s="5"/>
    </row>
    <row r="332" spans="1:5" x14ac:dyDescent="0.25">
      <c r="A332" s="3"/>
      <c r="C332" s="5"/>
      <c r="D332" s="5"/>
      <c r="E332" s="5"/>
    </row>
    <row r="333" spans="1:5" x14ac:dyDescent="0.25">
      <c r="A333" s="3"/>
      <c r="C333" s="5"/>
      <c r="D333" s="5"/>
      <c r="E333" s="5"/>
    </row>
    <row r="334" spans="1:5" x14ac:dyDescent="0.25">
      <c r="A334" s="3"/>
      <c r="C334" s="5"/>
      <c r="D334" s="5"/>
      <c r="E334" s="5"/>
    </row>
    <row r="335" spans="1:5" x14ac:dyDescent="0.25">
      <c r="A335" s="3"/>
      <c r="C335" s="5"/>
      <c r="D335" s="5"/>
      <c r="E335" s="5"/>
    </row>
    <row r="336" spans="1:5" x14ac:dyDescent="0.25">
      <c r="A336" s="3"/>
      <c r="C336" s="5"/>
      <c r="D336" s="5"/>
      <c r="E336" s="5"/>
    </row>
    <row r="337" spans="1:5" x14ac:dyDescent="0.25">
      <c r="A337" s="3"/>
      <c r="C337" s="5"/>
      <c r="D337" s="5"/>
      <c r="E337" s="5"/>
    </row>
    <row r="338" spans="1:5" x14ac:dyDescent="0.25">
      <c r="A338" s="3"/>
      <c r="C338" s="5"/>
      <c r="D338" s="5"/>
      <c r="E338" s="5"/>
    </row>
    <row r="339" spans="1:5" x14ac:dyDescent="0.25">
      <c r="A339" s="3"/>
      <c r="C339" s="5"/>
      <c r="D339" s="5"/>
      <c r="E339" s="5"/>
    </row>
    <row r="340" spans="1:5" x14ac:dyDescent="0.25">
      <c r="A340" s="3"/>
      <c r="C340" s="5"/>
      <c r="D340" s="5"/>
      <c r="E340" s="5"/>
    </row>
    <row r="341" spans="1:5" x14ac:dyDescent="0.25">
      <c r="A341" s="3"/>
      <c r="C341" s="5"/>
      <c r="D341" s="5"/>
      <c r="E341" s="5"/>
    </row>
    <row r="342" spans="1:5" x14ac:dyDescent="0.25">
      <c r="A342" s="3"/>
      <c r="C342" s="5"/>
      <c r="D342" s="5"/>
      <c r="E342" s="5"/>
    </row>
    <row r="343" spans="1:5" x14ac:dyDescent="0.25">
      <c r="A343" s="3"/>
      <c r="C343" s="5"/>
      <c r="D343" s="5"/>
      <c r="E343" s="5"/>
    </row>
    <row r="344" spans="1:5" x14ac:dyDescent="0.25">
      <c r="A344" s="3"/>
      <c r="C344" s="5"/>
      <c r="D344" s="5"/>
      <c r="E344" s="5"/>
    </row>
    <row r="345" spans="1:5" x14ac:dyDescent="0.25">
      <c r="A345" s="3"/>
      <c r="C345" s="5"/>
      <c r="D345" s="5"/>
      <c r="E345" s="5"/>
    </row>
    <row r="346" spans="1:5" x14ac:dyDescent="0.25">
      <c r="A346" s="3"/>
      <c r="C346" s="5"/>
      <c r="D346" s="5"/>
      <c r="E346" s="5"/>
    </row>
    <row r="347" spans="1:5" x14ac:dyDescent="0.25">
      <c r="A347" s="3"/>
      <c r="C347" s="5"/>
      <c r="D347" s="5"/>
      <c r="E347" s="5"/>
    </row>
    <row r="348" spans="1:5" x14ac:dyDescent="0.25">
      <c r="A348" s="3"/>
      <c r="C348" s="5"/>
      <c r="D348" s="5"/>
      <c r="E348" s="5"/>
    </row>
    <row r="349" spans="1:5" x14ac:dyDescent="0.25">
      <c r="A349" s="3"/>
      <c r="C349" s="5"/>
      <c r="D349" s="5"/>
      <c r="E349" s="5"/>
    </row>
    <row r="350" spans="1:5" x14ac:dyDescent="0.25">
      <c r="A350" s="3"/>
      <c r="C350" s="5"/>
      <c r="D350" s="5"/>
      <c r="E350" s="5"/>
    </row>
    <row r="351" spans="1:5" x14ac:dyDescent="0.25">
      <c r="A351" s="3"/>
    </row>
    <row r="352" spans="1:5" x14ac:dyDescent="0.25">
      <c r="A352" s="77"/>
      <c r="B352" s="77"/>
      <c r="C352" s="77"/>
      <c r="D352" s="77"/>
      <c r="E352" s="77"/>
    </row>
    <row r="353" spans="1:5" x14ac:dyDescent="0.25">
      <c r="A353" s="77"/>
      <c r="B353" s="77"/>
      <c r="C353" s="77"/>
      <c r="D353" s="77"/>
      <c r="E353" s="77"/>
    </row>
    <row r="354" spans="1:5" x14ac:dyDescent="0.25">
      <c r="A354" s="78"/>
      <c r="B354" s="78"/>
      <c r="C354" s="78"/>
      <c r="D354" s="78"/>
      <c r="E354" s="78"/>
    </row>
    <row r="355" spans="1:5" x14ac:dyDescent="0.25">
      <c r="A355" s="78"/>
      <c r="B355" s="78"/>
      <c r="C355" s="78"/>
      <c r="D355" s="78"/>
      <c r="E355" s="78"/>
    </row>
    <row r="356" spans="1:5" x14ac:dyDescent="0.25">
      <c r="A356" s="78"/>
      <c r="B356" s="78"/>
      <c r="C356" s="78"/>
      <c r="D356" s="78"/>
      <c r="E356" s="78"/>
    </row>
    <row r="357" spans="1:5" x14ac:dyDescent="0.25">
      <c r="A357" s="78"/>
      <c r="B357" s="78"/>
      <c r="C357" s="78"/>
      <c r="D357" s="78"/>
      <c r="E357" s="78"/>
    </row>
    <row r="358" spans="1:5" x14ac:dyDescent="0.25">
      <c r="A358" s="78"/>
      <c r="B358" s="78"/>
      <c r="C358" s="78"/>
      <c r="D358" s="78"/>
      <c r="E358" s="78"/>
    </row>
    <row r="359" spans="1:5" x14ac:dyDescent="0.25">
      <c r="A359" s="78"/>
      <c r="B359" s="78"/>
      <c r="C359" s="78"/>
      <c r="D359" s="78"/>
      <c r="E359" s="78"/>
    </row>
    <row r="360" spans="1:5" x14ac:dyDescent="0.25">
      <c r="A360" s="78"/>
      <c r="B360" s="78"/>
      <c r="C360" s="78"/>
      <c r="D360" s="78"/>
      <c r="E360" s="78"/>
    </row>
    <row r="361" spans="1:5" x14ac:dyDescent="0.25">
      <c r="A361" s="78"/>
      <c r="B361" s="78"/>
      <c r="C361" s="78"/>
      <c r="D361" s="78"/>
      <c r="E361" s="78"/>
    </row>
    <row r="362" spans="1:5" x14ac:dyDescent="0.25">
      <c r="A362" s="78"/>
      <c r="B362" s="78"/>
      <c r="C362" s="78"/>
      <c r="D362" s="78"/>
      <c r="E362" s="78"/>
    </row>
    <row r="363" spans="1:5" x14ac:dyDescent="0.25">
      <c r="A363" s="78"/>
      <c r="B363" s="78"/>
      <c r="C363" s="78"/>
      <c r="D363" s="78"/>
      <c r="E363" s="78"/>
    </row>
  </sheetData>
  <mergeCells count="14">
    <mergeCell ref="A352:E353"/>
    <mergeCell ref="A354:E363"/>
    <mergeCell ref="A185:E185"/>
    <mergeCell ref="A4:A5"/>
    <mergeCell ref="A6:A7"/>
    <mergeCell ref="A13:A15"/>
    <mergeCell ref="A17:A19"/>
    <mergeCell ref="A21:A23"/>
    <mergeCell ref="A25:A27"/>
    <mergeCell ref="A29:A31"/>
    <mergeCell ref="A33:A35"/>
    <mergeCell ref="A37:A39"/>
    <mergeCell ref="A41:A43"/>
    <mergeCell ref="A45:A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4"/>
  <sheetViews>
    <sheetView workbookViewId="0"/>
  </sheetViews>
  <sheetFormatPr defaultColWidth="9.140625" defaultRowHeight="15" x14ac:dyDescent="0.25"/>
  <cols>
    <col min="1" max="4" width="14.5703125" style="4" customWidth="1"/>
    <col min="5" max="5" width="23.140625" style="4" bestFit="1" customWidth="1"/>
    <col min="6" max="6" width="25.5703125" style="4" bestFit="1" customWidth="1"/>
    <col min="7" max="16384" width="9.140625" style="4"/>
  </cols>
  <sheetData>
    <row r="1" spans="1:10" x14ac:dyDescent="0.25">
      <c r="A1" s="6" t="s">
        <v>3</v>
      </c>
    </row>
    <row r="2" spans="1:10" x14ac:dyDescent="0.25">
      <c r="A2" s="3"/>
      <c r="B2" s="3"/>
      <c r="C2" s="3"/>
      <c r="D2" s="3"/>
      <c r="E2" s="3"/>
      <c r="F2" s="3"/>
    </row>
    <row r="3" spans="1:10" ht="15" customHeight="1" x14ac:dyDescent="0.25">
      <c r="A3" s="82" t="s">
        <v>36</v>
      </c>
      <c r="B3" s="82"/>
      <c r="C3" s="82"/>
      <c r="D3" s="82"/>
      <c r="E3" s="3"/>
      <c r="F3" s="3"/>
    </row>
    <row r="4" spans="1:10" ht="38.25" x14ac:dyDescent="0.25">
      <c r="A4" s="48" t="s">
        <v>37</v>
      </c>
      <c r="B4" s="48" t="s">
        <v>38</v>
      </c>
      <c r="C4" s="48" t="s">
        <v>39</v>
      </c>
      <c r="D4" s="48" t="s">
        <v>40</v>
      </c>
      <c r="E4" s="5"/>
      <c r="F4" s="5"/>
    </row>
    <row r="5" spans="1:10" ht="15" customHeight="1" x14ac:dyDescent="0.25">
      <c r="A5" s="83" t="s">
        <v>23</v>
      </c>
      <c r="B5" s="1" t="s">
        <v>41</v>
      </c>
      <c r="C5" s="27">
        <v>0.64700000000000002</v>
      </c>
      <c r="D5" s="27">
        <v>8.9999999999999993E-3</v>
      </c>
      <c r="E5" s="5"/>
      <c r="F5" s="5"/>
      <c r="I5" s="8"/>
      <c r="J5" s="8"/>
    </row>
    <row r="6" spans="1:10" ht="15" customHeight="1" x14ac:dyDescent="0.25">
      <c r="A6" s="83"/>
      <c r="B6" s="1" t="s">
        <v>42</v>
      </c>
      <c r="C6" s="27">
        <v>0.82099999999999995</v>
      </c>
      <c r="D6" s="27">
        <v>1.9E-2</v>
      </c>
      <c r="E6" s="5"/>
      <c r="F6" s="5"/>
      <c r="I6" s="8"/>
      <c r="J6" s="8"/>
    </row>
    <row r="7" spans="1:10" ht="15" customHeight="1" x14ac:dyDescent="0.25">
      <c r="A7" s="83"/>
      <c r="B7" s="1" t="s">
        <v>43</v>
      </c>
      <c r="C7" s="27">
        <v>0.84899999999999998</v>
      </c>
      <c r="D7" s="27">
        <v>2.5999999999999999E-2</v>
      </c>
      <c r="E7" s="5"/>
      <c r="F7" s="5"/>
      <c r="I7" s="8"/>
      <c r="J7" s="8"/>
    </row>
    <row r="8" spans="1:10" ht="15" customHeight="1" x14ac:dyDescent="0.25">
      <c r="A8" s="49"/>
      <c r="B8" s="1"/>
      <c r="C8" s="1"/>
      <c r="D8" s="1"/>
      <c r="E8" s="5"/>
      <c r="F8" s="5"/>
    </row>
    <row r="9" spans="1:10" ht="15" customHeight="1" x14ac:dyDescent="0.25">
      <c r="A9" s="83" t="s">
        <v>25</v>
      </c>
      <c r="B9" s="1" t="s">
        <v>41</v>
      </c>
      <c r="C9" s="27">
        <v>0.73699999999999999</v>
      </c>
      <c r="D9" s="27">
        <v>6.0000000000000001E-3</v>
      </c>
      <c r="E9" s="5"/>
      <c r="F9" s="5"/>
      <c r="I9" s="8"/>
      <c r="J9" s="8"/>
    </row>
    <row r="10" spans="1:10" ht="15" customHeight="1" x14ac:dyDescent="0.25">
      <c r="A10" s="83"/>
      <c r="B10" s="1" t="s">
        <v>42</v>
      </c>
      <c r="C10" s="27">
        <v>0.88900000000000001</v>
      </c>
      <c r="D10" s="27">
        <v>1.2E-2</v>
      </c>
      <c r="E10" s="5"/>
      <c r="F10" s="5"/>
      <c r="I10" s="8"/>
      <c r="J10" s="8"/>
    </row>
    <row r="11" spans="1:10" ht="15" customHeight="1" x14ac:dyDescent="0.25">
      <c r="A11" s="83"/>
      <c r="B11" s="1" t="s">
        <v>43</v>
      </c>
      <c r="C11" s="27">
        <v>0.91500000000000004</v>
      </c>
      <c r="D11" s="27">
        <v>1.4999999999999999E-2</v>
      </c>
      <c r="E11" s="5"/>
      <c r="F11" s="5"/>
      <c r="I11" s="8"/>
      <c r="J11" s="8"/>
    </row>
    <row r="12" spans="1:10" ht="15" customHeight="1" x14ac:dyDescent="0.25">
      <c r="A12" s="49"/>
      <c r="B12" s="1"/>
      <c r="C12" s="27"/>
      <c r="D12" s="27"/>
      <c r="E12" s="5"/>
      <c r="F12" s="5"/>
    </row>
    <row r="13" spans="1:10" ht="15" customHeight="1" x14ac:dyDescent="0.25">
      <c r="A13" s="83" t="s">
        <v>26</v>
      </c>
      <c r="B13" s="1" t="s">
        <v>41</v>
      </c>
      <c r="C13" s="27">
        <v>0.60799999999999998</v>
      </c>
      <c r="D13" s="27">
        <v>5.0000000000000001E-3</v>
      </c>
      <c r="E13" s="5"/>
      <c r="F13" s="5"/>
      <c r="I13" s="8"/>
      <c r="J13" s="8"/>
    </row>
    <row r="14" spans="1:10" ht="15" customHeight="1" x14ac:dyDescent="0.25">
      <c r="A14" s="83"/>
      <c r="B14" s="1" t="s">
        <v>42</v>
      </c>
      <c r="C14" s="27">
        <v>0.83899999999999997</v>
      </c>
      <c r="D14" s="27">
        <v>1.4E-2</v>
      </c>
      <c r="E14" s="5"/>
      <c r="F14" s="5"/>
      <c r="I14" s="8"/>
      <c r="J14" s="8"/>
    </row>
    <row r="15" spans="1:10" ht="15" customHeight="1" x14ac:dyDescent="0.25">
      <c r="A15" s="83"/>
      <c r="B15" s="1" t="s">
        <v>43</v>
      </c>
      <c r="C15" s="27">
        <v>0.871</v>
      </c>
      <c r="D15" s="27">
        <v>2.1000000000000001E-2</v>
      </c>
      <c r="E15" s="5"/>
      <c r="F15" s="5"/>
      <c r="I15" s="8"/>
      <c r="J15" s="8"/>
    </row>
    <row r="16" spans="1:10" ht="15" customHeight="1" x14ac:dyDescent="0.25">
      <c r="A16" s="49"/>
      <c r="B16" s="1"/>
      <c r="C16" s="27"/>
      <c r="D16" s="27"/>
      <c r="E16" s="5"/>
      <c r="F16" s="5"/>
    </row>
    <row r="17" spans="1:10" ht="15" customHeight="1" x14ac:dyDescent="0.25">
      <c r="A17" s="83" t="s">
        <v>27</v>
      </c>
      <c r="B17" s="1" t="s">
        <v>41</v>
      </c>
      <c r="C17" s="27">
        <v>0.68400000000000005</v>
      </c>
      <c r="D17" s="27">
        <v>8.0000000000000002E-3</v>
      </c>
      <c r="E17" s="5"/>
      <c r="F17" s="5"/>
      <c r="I17" s="8"/>
      <c r="J17" s="8"/>
    </row>
    <row r="18" spans="1:10" ht="15" customHeight="1" x14ac:dyDescent="0.25">
      <c r="A18" s="83"/>
      <c r="B18" s="1" t="s">
        <v>42</v>
      </c>
      <c r="C18" s="27">
        <v>0.83399999999999996</v>
      </c>
      <c r="D18" s="27">
        <v>1.7999999999999999E-2</v>
      </c>
      <c r="E18" s="5"/>
      <c r="F18" s="5"/>
      <c r="I18" s="8"/>
      <c r="J18" s="8"/>
    </row>
    <row r="19" spans="1:10" ht="15" customHeight="1" x14ac:dyDescent="0.25">
      <c r="A19" s="83"/>
      <c r="B19" s="1" t="s">
        <v>43</v>
      </c>
      <c r="C19" s="27">
        <v>0.85</v>
      </c>
      <c r="D19" s="27">
        <v>2.5000000000000001E-2</v>
      </c>
      <c r="E19" s="5"/>
      <c r="F19" s="5"/>
      <c r="I19" s="8"/>
      <c r="J19" s="8"/>
    </row>
    <row r="20" spans="1:10" ht="15" customHeight="1" x14ac:dyDescent="0.25">
      <c r="A20" s="49"/>
      <c r="B20" s="1"/>
      <c r="C20" s="27"/>
      <c r="D20" s="27"/>
      <c r="E20" s="5"/>
      <c r="F20" s="5"/>
    </row>
    <row r="21" spans="1:10" ht="15" customHeight="1" x14ac:dyDescent="0.25">
      <c r="A21" s="83" t="s">
        <v>44</v>
      </c>
      <c r="B21" s="1" t="s">
        <v>41</v>
      </c>
      <c r="C21" s="27">
        <v>0.77700000000000002</v>
      </c>
      <c r="D21" s="27">
        <v>8.9999999999999993E-3</v>
      </c>
      <c r="E21" s="5"/>
      <c r="F21" s="5"/>
      <c r="I21" s="8"/>
      <c r="J21" s="8"/>
    </row>
    <row r="22" spans="1:10" ht="15" customHeight="1" x14ac:dyDescent="0.25">
      <c r="A22" s="83"/>
      <c r="B22" s="1" t="s">
        <v>42</v>
      </c>
      <c r="C22" s="27">
        <v>0.89600000000000002</v>
      </c>
      <c r="D22" s="27">
        <v>1.2999999999999999E-2</v>
      </c>
      <c r="E22" s="5"/>
      <c r="F22" s="5"/>
      <c r="I22" s="8"/>
      <c r="J22" s="8"/>
    </row>
    <row r="23" spans="1:10" ht="15" customHeight="1" x14ac:dyDescent="0.25">
      <c r="A23" s="83"/>
      <c r="B23" s="1" t="s">
        <v>43</v>
      </c>
      <c r="C23" s="27">
        <v>0.91300000000000003</v>
      </c>
      <c r="D23" s="27">
        <v>1.4E-2</v>
      </c>
      <c r="E23" s="5"/>
      <c r="F23" s="5"/>
      <c r="I23" s="8"/>
      <c r="J23" s="8"/>
    </row>
    <row r="24" spans="1:10" ht="15" customHeight="1" x14ac:dyDescent="0.25">
      <c r="A24" s="49"/>
      <c r="B24" s="1"/>
      <c r="C24" s="27"/>
      <c r="D24" s="27"/>
      <c r="E24" s="5"/>
      <c r="F24" s="5"/>
    </row>
    <row r="25" spans="1:10" ht="15" customHeight="1" x14ac:dyDescent="0.25">
      <c r="A25" s="83" t="s">
        <v>29</v>
      </c>
      <c r="B25" s="1" t="s">
        <v>41</v>
      </c>
      <c r="C25" s="27">
        <v>0.39400000000000002</v>
      </c>
      <c r="D25" s="27">
        <v>3.0000000000000001E-3</v>
      </c>
      <c r="E25" s="5"/>
      <c r="F25" s="5"/>
      <c r="I25" s="8"/>
      <c r="J25" s="8"/>
    </row>
    <row r="26" spans="1:10" ht="15" customHeight="1" x14ac:dyDescent="0.25">
      <c r="A26" s="83"/>
      <c r="B26" s="1" t="s">
        <v>42</v>
      </c>
      <c r="C26" s="27">
        <v>0.64500000000000002</v>
      </c>
      <c r="D26" s="27">
        <v>1.7000000000000001E-2</v>
      </c>
      <c r="E26" s="5"/>
      <c r="F26" s="5"/>
      <c r="I26" s="8"/>
      <c r="J26" s="8"/>
    </row>
    <row r="27" spans="1:10" ht="15" customHeight="1" x14ac:dyDescent="0.25">
      <c r="A27" s="83"/>
      <c r="B27" s="1" t="s">
        <v>43</v>
      </c>
      <c r="C27" s="27">
        <v>0.69199999999999995</v>
      </c>
      <c r="D27" s="27">
        <v>2.8000000000000001E-2</v>
      </c>
      <c r="E27" s="5"/>
      <c r="F27" s="5"/>
      <c r="I27" s="8"/>
      <c r="J27" s="8"/>
    </row>
    <row r="28" spans="1:10" ht="15" customHeight="1" x14ac:dyDescent="0.25">
      <c r="A28" s="49"/>
      <c r="B28" s="1"/>
      <c r="C28" s="27"/>
      <c r="D28" s="27"/>
      <c r="E28" s="5"/>
      <c r="F28" s="5"/>
    </row>
    <row r="29" spans="1:10" ht="15" customHeight="1" x14ac:dyDescent="0.25">
      <c r="A29" s="83" t="s">
        <v>30</v>
      </c>
      <c r="B29" s="1" t="s">
        <v>41</v>
      </c>
      <c r="C29" s="27">
        <v>0.57199999999999995</v>
      </c>
      <c r="D29" s="27">
        <v>7.0000000000000001E-3</v>
      </c>
      <c r="E29" s="5"/>
      <c r="F29" s="5"/>
      <c r="I29" s="8"/>
      <c r="J29" s="8"/>
    </row>
    <row r="30" spans="1:10" ht="15" customHeight="1" x14ac:dyDescent="0.25">
      <c r="A30" s="83"/>
      <c r="B30" s="1" t="s">
        <v>42</v>
      </c>
      <c r="C30" s="27">
        <v>0.747</v>
      </c>
      <c r="D30" s="27">
        <v>2.1000000000000001E-2</v>
      </c>
      <c r="E30" s="5"/>
      <c r="F30" s="5"/>
      <c r="I30" s="8"/>
      <c r="J30" s="8"/>
    </row>
    <row r="31" spans="1:10" ht="15" customHeight="1" x14ac:dyDescent="0.25">
      <c r="A31" s="83"/>
      <c r="B31" s="1" t="s">
        <v>43</v>
      </c>
      <c r="C31" s="27">
        <v>0.77800000000000002</v>
      </c>
      <c r="D31" s="27">
        <v>3.2000000000000001E-2</v>
      </c>
      <c r="E31" s="5"/>
      <c r="F31" s="5"/>
      <c r="I31" s="8"/>
      <c r="J31" s="8"/>
    </row>
    <row r="32" spans="1:10" ht="15" customHeight="1" x14ac:dyDescent="0.25">
      <c r="A32" s="49"/>
      <c r="B32" s="1"/>
      <c r="C32" s="27"/>
      <c r="D32" s="27"/>
      <c r="E32" s="5"/>
      <c r="F32" s="5"/>
    </row>
    <row r="33" spans="1:10" ht="15" customHeight="1" x14ac:dyDescent="0.25">
      <c r="A33" s="83" t="s">
        <v>31</v>
      </c>
      <c r="B33" s="1" t="s">
        <v>41</v>
      </c>
      <c r="C33" s="27">
        <v>0.61499999999999999</v>
      </c>
      <c r="D33" s="27">
        <v>1.4E-2</v>
      </c>
      <c r="E33" s="5"/>
      <c r="F33" s="5"/>
      <c r="I33" s="8"/>
      <c r="J33" s="8"/>
    </row>
    <row r="34" spans="1:10" ht="15" customHeight="1" x14ac:dyDescent="0.25">
      <c r="A34" s="83"/>
      <c r="B34" s="1" t="s">
        <v>42</v>
      </c>
      <c r="C34" s="27">
        <v>0.82699999999999996</v>
      </c>
      <c r="D34" s="27">
        <v>2.5999999999999999E-2</v>
      </c>
      <c r="E34" s="5"/>
      <c r="F34" s="5"/>
      <c r="I34" s="8"/>
      <c r="J34" s="8"/>
    </row>
    <row r="35" spans="1:10" ht="15" customHeight="1" x14ac:dyDescent="0.25">
      <c r="A35" s="83"/>
      <c r="B35" s="1" t="s">
        <v>43</v>
      </c>
      <c r="C35" s="27">
        <v>0.86899999999999999</v>
      </c>
      <c r="D35" s="27">
        <v>3.1E-2</v>
      </c>
      <c r="E35" s="5"/>
      <c r="F35" s="5"/>
      <c r="I35" s="8"/>
      <c r="J35" s="8"/>
    </row>
    <row r="36" spans="1:10" x14ac:dyDescent="0.25">
      <c r="A36" s="49"/>
      <c r="B36" s="1"/>
      <c r="C36" s="27"/>
      <c r="D36" s="27"/>
    </row>
    <row r="37" spans="1:10" x14ac:dyDescent="0.25">
      <c r="A37" s="83" t="s">
        <v>45</v>
      </c>
      <c r="B37" s="1" t="s">
        <v>41</v>
      </c>
      <c r="C37" s="27">
        <v>0.68899999999999995</v>
      </c>
      <c r="D37" s="27">
        <v>1.6E-2</v>
      </c>
      <c r="I37" s="8"/>
      <c r="J37" s="8"/>
    </row>
    <row r="38" spans="1:10" x14ac:dyDescent="0.25">
      <c r="A38" s="83"/>
      <c r="B38" s="1" t="s">
        <v>42</v>
      </c>
      <c r="C38" s="27">
        <v>0.81</v>
      </c>
      <c r="D38" s="27">
        <v>3.2000000000000001E-2</v>
      </c>
      <c r="E38" s="5"/>
      <c r="F38" s="5"/>
      <c r="I38" s="8"/>
      <c r="J38" s="8"/>
    </row>
    <row r="39" spans="1:10" x14ac:dyDescent="0.25">
      <c r="A39" s="83"/>
      <c r="B39" s="1" t="s">
        <v>43</v>
      </c>
      <c r="C39" s="27">
        <v>0.83299999999999996</v>
      </c>
      <c r="D39" s="27">
        <v>4.2999999999999997E-2</v>
      </c>
      <c r="E39" s="5"/>
      <c r="F39" s="5"/>
      <c r="I39" s="8"/>
      <c r="J39" s="8"/>
    </row>
    <row r="40" spans="1:10" x14ac:dyDescent="0.25">
      <c r="A40" s="49"/>
      <c r="B40" s="1"/>
      <c r="C40" s="27"/>
      <c r="D40" s="27"/>
      <c r="E40" s="5"/>
      <c r="F40" s="5"/>
    </row>
    <row r="41" spans="1:10" x14ac:dyDescent="0.25">
      <c r="A41" s="83" t="s">
        <v>46</v>
      </c>
      <c r="B41" s="1" t="s">
        <v>41</v>
      </c>
      <c r="C41" s="27">
        <v>0.505</v>
      </c>
      <c r="D41" s="27">
        <v>8.0000000000000002E-3</v>
      </c>
      <c r="E41" s="5"/>
      <c r="F41" s="5"/>
      <c r="I41" s="8"/>
      <c r="J41" s="8"/>
    </row>
    <row r="42" spans="1:10" x14ac:dyDescent="0.25">
      <c r="A42" s="83"/>
      <c r="B42" s="1" t="s">
        <v>42</v>
      </c>
      <c r="C42" s="27">
        <v>0.73699999999999999</v>
      </c>
      <c r="D42" s="27">
        <v>2.1999999999999999E-2</v>
      </c>
      <c r="E42" s="5"/>
      <c r="F42" s="5"/>
      <c r="I42" s="8"/>
      <c r="J42" s="8"/>
    </row>
    <row r="43" spans="1:10" x14ac:dyDescent="0.25">
      <c r="A43" s="83"/>
      <c r="B43" s="1" t="s">
        <v>43</v>
      </c>
      <c r="C43" s="27">
        <v>0.77100000000000002</v>
      </c>
      <c r="D43" s="27">
        <v>3.5000000000000003E-2</v>
      </c>
      <c r="E43" s="5"/>
      <c r="F43" s="5"/>
      <c r="I43" s="8"/>
      <c r="J43" s="8"/>
    </row>
    <row r="44" spans="1:10" ht="15" customHeight="1" x14ac:dyDescent="0.25">
      <c r="A44" s="7" t="s">
        <v>47</v>
      </c>
      <c r="C44" s="5"/>
      <c r="D44" s="5"/>
      <c r="E44" s="5"/>
      <c r="F44" s="5"/>
    </row>
    <row r="45" spans="1:10" ht="57" customHeight="1" x14ac:dyDescent="0.25">
      <c r="A45" s="79" t="s">
        <v>48</v>
      </c>
      <c r="B45" s="79"/>
      <c r="C45" s="79"/>
      <c r="D45" s="79"/>
      <c r="E45" s="5"/>
      <c r="F45" s="5"/>
    </row>
    <row r="46" spans="1:10" x14ac:dyDescent="0.25">
      <c r="A46" s="3"/>
      <c r="C46" s="5"/>
      <c r="D46" s="5"/>
      <c r="E46" s="5"/>
      <c r="F46" s="5"/>
    </row>
    <row r="47" spans="1:10" x14ac:dyDescent="0.25">
      <c r="A47" s="3"/>
      <c r="C47" s="5"/>
      <c r="D47" s="5"/>
      <c r="E47" s="5"/>
      <c r="F47" s="5"/>
    </row>
    <row r="48" spans="1:10" x14ac:dyDescent="0.25">
      <c r="A48" s="3"/>
      <c r="C48" s="5"/>
      <c r="D48" s="5"/>
      <c r="E48" s="5"/>
      <c r="F48" s="5"/>
    </row>
    <row r="49" spans="1:6" x14ac:dyDescent="0.25">
      <c r="A49" s="3"/>
      <c r="C49" s="5"/>
      <c r="D49" s="5"/>
      <c r="E49" s="5"/>
      <c r="F49" s="5"/>
    </row>
    <row r="50" spans="1:6" x14ac:dyDescent="0.25">
      <c r="A50" s="3"/>
      <c r="C50" s="5"/>
      <c r="D50" s="5"/>
      <c r="E50" s="5"/>
      <c r="F50" s="5"/>
    </row>
    <row r="51" spans="1:6" x14ac:dyDescent="0.25">
      <c r="A51" s="3"/>
      <c r="C51" s="5"/>
      <c r="D51" s="5"/>
      <c r="E51" s="5"/>
      <c r="F51" s="5"/>
    </row>
    <row r="52" spans="1:6" x14ac:dyDescent="0.25">
      <c r="A52" s="3"/>
      <c r="C52" s="5"/>
      <c r="D52" s="5"/>
      <c r="E52" s="5"/>
      <c r="F52" s="5"/>
    </row>
    <row r="53" spans="1:6" x14ac:dyDescent="0.25">
      <c r="A53" s="3"/>
      <c r="C53" s="5"/>
      <c r="D53" s="5"/>
      <c r="E53" s="5"/>
      <c r="F53" s="5"/>
    </row>
    <row r="54" spans="1:6" x14ac:dyDescent="0.25">
      <c r="A54" s="3"/>
      <c r="C54" s="5"/>
      <c r="D54" s="5"/>
      <c r="E54" s="5"/>
      <c r="F54" s="5"/>
    </row>
    <row r="55" spans="1:6" x14ac:dyDescent="0.25">
      <c r="A55" s="3"/>
      <c r="C55" s="5"/>
      <c r="D55" s="5"/>
      <c r="E55" s="5"/>
      <c r="F55" s="5"/>
    </row>
    <row r="56" spans="1:6" x14ac:dyDescent="0.25">
      <c r="A56" s="3"/>
      <c r="C56" s="5"/>
      <c r="D56" s="5"/>
      <c r="E56" s="5"/>
      <c r="F56" s="5"/>
    </row>
    <row r="57" spans="1:6" x14ac:dyDescent="0.25">
      <c r="A57" s="3"/>
      <c r="C57" s="5"/>
      <c r="D57" s="5"/>
      <c r="E57" s="5"/>
      <c r="F57" s="5"/>
    </row>
    <row r="58" spans="1:6" x14ac:dyDescent="0.25">
      <c r="A58" s="3"/>
      <c r="C58" s="5"/>
      <c r="D58" s="5"/>
      <c r="E58" s="5"/>
      <c r="F58" s="5"/>
    </row>
    <row r="59" spans="1:6" x14ac:dyDescent="0.25">
      <c r="A59" s="3"/>
      <c r="C59" s="5"/>
      <c r="D59" s="5"/>
      <c r="E59" s="5"/>
      <c r="F59" s="5"/>
    </row>
    <row r="60" spans="1:6" x14ac:dyDescent="0.25">
      <c r="A60" s="3"/>
      <c r="C60" s="5"/>
      <c r="D60" s="5"/>
      <c r="E60" s="5"/>
      <c r="F60" s="5"/>
    </row>
    <row r="61" spans="1:6" x14ac:dyDescent="0.25">
      <c r="C61" s="5"/>
      <c r="D61" s="5"/>
      <c r="E61" s="5"/>
      <c r="F61" s="5"/>
    </row>
    <row r="62" spans="1:6" x14ac:dyDescent="0.25">
      <c r="A62" s="3"/>
      <c r="C62" s="5"/>
      <c r="D62" s="5"/>
      <c r="E62" s="5"/>
      <c r="F62" s="5"/>
    </row>
    <row r="63" spans="1:6" x14ac:dyDescent="0.25">
      <c r="A63" s="3"/>
      <c r="C63" s="5"/>
      <c r="D63" s="5"/>
      <c r="E63" s="5"/>
      <c r="F63" s="5"/>
    </row>
    <row r="64" spans="1:6" x14ac:dyDescent="0.25">
      <c r="A64" s="3"/>
      <c r="C64" s="5"/>
      <c r="D64" s="5"/>
      <c r="E64" s="5"/>
      <c r="F64" s="5"/>
    </row>
    <row r="65" spans="1:6" x14ac:dyDescent="0.25">
      <c r="A65" s="3"/>
      <c r="C65" s="5"/>
      <c r="D65" s="5"/>
      <c r="E65" s="5"/>
      <c r="F65" s="5"/>
    </row>
    <row r="66" spans="1:6" x14ac:dyDescent="0.25">
      <c r="A66" s="3"/>
      <c r="C66" s="5"/>
      <c r="D66" s="5"/>
      <c r="E66" s="5"/>
      <c r="F66" s="5"/>
    </row>
    <row r="67" spans="1:6" x14ac:dyDescent="0.25">
      <c r="A67" s="3"/>
      <c r="C67" s="5"/>
      <c r="D67" s="5"/>
      <c r="E67" s="5"/>
      <c r="F67" s="5"/>
    </row>
    <row r="68" spans="1:6" x14ac:dyDescent="0.25">
      <c r="A68" s="3"/>
      <c r="C68" s="5"/>
      <c r="D68" s="5"/>
      <c r="E68" s="5"/>
      <c r="F68" s="5"/>
    </row>
    <row r="69" spans="1:6" x14ac:dyDescent="0.25">
      <c r="A69" s="3"/>
      <c r="C69" s="5"/>
      <c r="D69" s="5"/>
      <c r="E69" s="5"/>
      <c r="F69" s="5"/>
    </row>
    <row r="70" spans="1:6" x14ac:dyDescent="0.25">
      <c r="A70" s="3"/>
      <c r="C70" s="5"/>
      <c r="D70" s="5"/>
      <c r="E70" s="5"/>
      <c r="F70" s="5"/>
    </row>
    <row r="71" spans="1:6" x14ac:dyDescent="0.25">
      <c r="A71" s="3"/>
      <c r="C71" s="5"/>
      <c r="D71" s="5"/>
      <c r="E71" s="5"/>
      <c r="F71" s="5"/>
    </row>
    <row r="72" spans="1:6" x14ac:dyDescent="0.25">
      <c r="A72" s="3"/>
      <c r="C72" s="5"/>
      <c r="D72" s="5"/>
      <c r="E72" s="5"/>
      <c r="F72" s="5"/>
    </row>
    <row r="73" spans="1:6" x14ac:dyDescent="0.25">
      <c r="A73" s="3"/>
      <c r="C73" s="5"/>
      <c r="D73" s="5"/>
      <c r="E73" s="5"/>
      <c r="F73" s="5"/>
    </row>
    <row r="74" spans="1:6" x14ac:dyDescent="0.25">
      <c r="A74" s="3"/>
      <c r="C74" s="5"/>
      <c r="D74" s="5"/>
      <c r="E74" s="5"/>
      <c r="F74" s="5"/>
    </row>
    <row r="75" spans="1:6" x14ac:dyDescent="0.25">
      <c r="A75" s="3"/>
      <c r="C75" s="5"/>
      <c r="D75" s="5"/>
      <c r="E75" s="5"/>
      <c r="F75" s="5"/>
    </row>
    <row r="76" spans="1:6" x14ac:dyDescent="0.25">
      <c r="A76" s="3"/>
      <c r="C76" s="5"/>
      <c r="D76" s="5"/>
      <c r="E76" s="5"/>
      <c r="F76" s="5"/>
    </row>
    <row r="77" spans="1:6" x14ac:dyDescent="0.25">
      <c r="A77" s="3"/>
      <c r="C77" s="5"/>
      <c r="D77" s="5"/>
      <c r="E77" s="5"/>
      <c r="F77" s="5"/>
    </row>
    <row r="78" spans="1:6" x14ac:dyDescent="0.25">
      <c r="A78" s="3"/>
      <c r="C78" s="5"/>
      <c r="D78" s="5"/>
      <c r="E78" s="5"/>
      <c r="F78" s="5"/>
    </row>
    <row r="79" spans="1:6" x14ac:dyDescent="0.25">
      <c r="A79" s="3"/>
      <c r="C79" s="5"/>
      <c r="D79" s="5"/>
      <c r="E79" s="5"/>
      <c r="F79" s="5"/>
    </row>
    <row r="80" spans="1:6" x14ac:dyDescent="0.25">
      <c r="A80" s="3"/>
      <c r="C80" s="5"/>
      <c r="D80" s="5"/>
      <c r="E80" s="5"/>
      <c r="F80" s="5"/>
    </row>
    <row r="81" spans="1:6" x14ac:dyDescent="0.25">
      <c r="A81" s="3"/>
      <c r="C81" s="5"/>
      <c r="D81" s="5"/>
      <c r="E81" s="5"/>
      <c r="F81" s="5"/>
    </row>
    <row r="82" spans="1:6" x14ac:dyDescent="0.25">
      <c r="A82" s="3"/>
      <c r="C82" s="5"/>
      <c r="D82" s="5"/>
      <c r="E82" s="5"/>
      <c r="F82" s="5"/>
    </row>
    <row r="83" spans="1:6" x14ac:dyDescent="0.25">
      <c r="C83" s="5"/>
      <c r="D83" s="5"/>
      <c r="E83" s="5"/>
      <c r="F83" s="5"/>
    </row>
    <row r="84" spans="1:6" x14ac:dyDescent="0.25">
      <c r="A84" s="3"/>
      <c r="C84" s="5"/>
      <c r="D84" s="5"/>
      <c r="E84" s="5"/>
      <c r="F84" s="5"/>
    </row>
    <row r="85" spans="1:6" x14ac:dyDescent="0.25">
      <c r="A85" s="3"/>
      <c r="C85" s="5"/>
      <c r="D85" s="5"/>
      <c r="E85" s="5"/>
      <c r="F85" s="5"/>
    </row>
    <row r="86" spans="1:6" x14ac:dyDescent="0.25">
      <c r="A86" s="3"/>
      <c r="C86" s="5"/>
      <c r="D86" s="5"/>
      <c r="E86" s="5"/>
      <c r="F86" s="5"/>
    </row>
    <row r="87" spans="1:6" x14ac:dyDescent="0.25">
      <c r="A87" s="3"/>
      <c r="C87" s="5"/>
      <c r="D87" s="5"/>
      <c r="E87" s="5"/>
      <c r="F87" s="5"/>
    </row>
    <row r="88" spans="1:6" x14ac:dyDescent="0.25">
      <c r="A88" s="3"/>
      <c r="C88" s="5"/>
      <c r="D88" s="5"/>
      <c r="E88" s="5"/>
      <c r="F88" s="5"/>
    </row>
    <row r="89" spans="1:6" x14ac:dyDescent="0.25">
      <c r="A89" s="3"/>
      <c r="C89" s="5"/>
      <c r="D89" s="5"/>
      <c r="E89" s="5"/>
      <c r="F89" s="5"/>
    </row>
    <row r="90" spans="1:6" x14ac:dyDescent="0.25">
      <c r="A90" s="3"/>
      <c r="C90" s="5"/>
      <c r="D90" s="5"/>
      <c r="E90" s="5"/>
      <c r="F90" s="5"/>
    </row>
    <row r="91" spans="1:6" x14ac:dyDescent="0.25">
      <c r="A91" s="3"/>
      <c r="C91" s="5"/>
      <c r="D91" s="5"/>
      <c r="E91" s="5"/>
      <c r="F91" s="5"/>
    </row>
    <row r="92" spans="1:6" x14ac:dyDescent="0.25">
      <c r="A92" s="3"/>
      <c r="C92" s="5"/>
      <c r="D92" s="5"/>
      <c r="E92" s="5"/>
      <c r="F92" s="5"/>
    </row>
    <row r="93" spans="1:6" x14ac:dyDescent="0.25">
      <c r="A93" s="3"/>
      <c r="C93" s="5"/>
      <c r="D93" s="5"/>
      <c r="E93" s="5"/>
      <c r="F93" s="5"/>
    </row>
    <row r="94" spans="1:6" x14ac:dyDescent="0.25">
      <c r="A94" s="3"/>
      <c r="C94" s="5"/>
      <c r="D94" s="5"/>
      <c r="E94" s="5"/>
      <c r="F94" s="5"/>
    </row>
    <row r="95" spans="1:6" x14ac:dyDescent="0.25">
      <c r="A95" s="3"/>
      <c r="C95" s="5"/>
      <c r="D95" s="5"/>
      <c r="E95" s="5"/>
      <c r="F95" s="5"/>
    </row>
    <row r="96" spans="1:6" x14ac:dyDescent="0.25">
      <c r="A96" s="3"/>
      <c r="C96" s="5"/>
      <c r="D96" s="5"/>
      <c r="E96" s="5"/>
      <c r="F96" s="5"/>
    </row>
    <row r="97" spans="1:6" x14ac:dyDescent="0.25">
      <c r="A97" s="3"/>
      <c r="C97" s="5"/>
      <c r="D97" s="5"/>
      <c r="E97" s="5"/>
      <c r="F97" s="5"/>
    </row>
    <row r="98" spans="1:6" x14ac:dyDescent="0.25">
      <c r="A98" s="3"/>
      <c r="C98" s="5"/>
      <c r="D98" s="5"/>
      <c r="E98" s="5"/>
      <c r="F98" s="5"/>
    </row>
    <row r="99" spans="1:6" x14ac:dyDescent="0.25">
      <c r="A99" s="3"/>
      <c r="C99" s="5"/>
      <c r="D99" s="5"/>
      <c r="E99" s="5"/>
      <c r="F99" s="5"/>
    </row>
    <row r="100" spans="1:6" x14ac:dyDescent="0.25">
      <c r="A100" s="3"/>
      <c r="C100" s="5"/>
      <c r="D100" s="5"/>
      <c r="E100" s="5"/>
      <c r="F100" s="5"/>
    </row>
    <row r="101" spans="1:6" x14ac:dyDescent="0.25">
      <c r="A101" s="3"/>
      <c r="C101" s="5"/>
      <c r="D101" s="5"/>
      <c r="E101" s="5"/>
      <c r="F101" s="5"/>
    </row>
    <row r="102" spans="1:6" x14ac:dyDescent="0.25">
      <c r="A102" s="3"/>
      <c r="C102" s="5"/>
      <c r="D102" s="5"/>
      <c r="E102" s="5"/>
      <c r="F102" s="5"/>
    </row>
    <row r="103" spans="1:6" x14ac:dyDescent="0.25">
      <c r="A103" s="3"/>
      <c r="C103" s="5"/>
      <c r="D103" s="5"/>
      <c r="E103" s="5"/>
      <c r="F103" s="5"/>
    </row>
    <row r="104" spans="1:6" x14ac:dyDescent="0.25">
      <c r="A104" s="3"/>
      <c r="C104" s="5"/>
      <c r="D104" s="5"/>
      <c r="E104" s="5"/>
      <c r="F104" s="5"/>
    </row>
    <row r="105" spans="1:6" x14ac:dyDescent="0.25">
      <c r="C105" s="5"/>
      <c r="D105" s="5"/>
      <c r="E105" s="5"/>
      <c r="F105" s="5"/>
    </row>
    <row r="106" spans="1:6" x14ac:dyDescent="0.25">
      <c r="A106" s="3"/>
      <c r="C106" s="5"/>
      <c r="D106" s="5"/>
      <c r="E106" s="5"/>
      <c r="F106" s="5"/>
    </row>
    <row r="107" spans="1:6" x14ac:dyDescent="0.25">
      <c r="A107" s="3"/>
      <c r="C107" s="5"/>
      <c r="D107" s="5"/>
      <c r="E107" s="5"/>
      <c r="F107" s="5"/>
    </row>
    <row r="108" spans="1:6" x14ac:dyDescent="0.25">
      <c r="A108" s="3"/>
      <c r="C108" s="5"/>
      <c r="D108" s="5"/>
      <c r="E108" s="5"/>
      <c r="F108" s="5"/>
    </row>
    <row r="109" spans="1:6" x14ac:dyDescent="0.25">
      <c r="A109" s="3"/>
      <c r="C109" s="5"/>
      <c r="D109" s="5"/>
      <c r="E109" s="5"/>
      <c r="F109" s="5"/>
    </row>
    <row r="110" spans="1:6" x14ac:dyDescent="0.25">
      <c r="A110" s="3"/>
      <c r="C110" s="5"/>
      <c r="D110" s="5"/>
      <c r="E110" s="5"/>
      <c r="F110" s="5"/>
    </row>
    <row r="111" spans="1:6" x14ac:dyDescent="0.25">
      <c r="A111" s="3"/>
      <c r="C111" s="5"/>
      <c r="D111" s="5"/>
      <c r="E111" s="5"/>
      <c r="F111" s="5"/>
    </row>
    <row r="112" spans="1:6" x14ac:dyDescent="0.25">
      <c r="A112" s="3"/>
      <c r="C112" s="5"/>
      <c r="D112" s="5"/>
      <c r="E112" s="5"/>
      <c r="F112" s="5"/>
    </row>
    <row r="113" spans="1:6" x14ac:dyDescent="0.25">
      <c r="A113" s="3"/>
      <c r="C113" s="5"/>
      <c r="D113" s="5"/>
      <c r="E113" s="5"/>
      <c r="F113" s="5"/>
    </row>
    <row r="114" spans="1:6" x14ac:dyDescent="0.25">
      <c r="A114" s="3"/>
      <c r="C114" s="5"/>
      <c r="D114" s="5"/>
      <c r="E114" s="5"/>
      <c r="F114" s="5"/>
    </row>
    <row r="115" spans="1:6" x14ac:dyDescent="0.25">
      <c r="A115" s="3"/>
      <c r="C115" s="5"/>
      <c r="D115" s="5"/>
      <c r="E115" s="5"/>
      <c r="F115" s="5"/>
    </row>
    <row r="116" spans="1:6" x14ac:dyDescent="0.25">
      <c r="A116" s="3"/>
      <c r="C116" s="5"/>
      <c r="D116" s="5"/>
      <c r="E116" s="5"/>
      <c r="F116" s="5"/>
    </row>
    <row r="117" spans="1:6" x14ac:dyDescent="0.25">
      <c r="A117" s="3"/>
      <c r="C117" s="5"/>
      <c r="D117" s="5"/>
      <c r="E117" s="5"/>
      <c r="F117" s="5"/>
    </row>
    <row r="118" spans="1:6" x14ac:dyDescent="0.25">
      <c r="A118" s="3"/>
      <c r="C118" s="5"/>
      <c r="D118" s="5"/>
      <c r="E118" s="5"/>
      <c r="F118" s="5"/>
    </row>
    <row r="119" spans="1:6" x14ac:dyDescent="0.25">
      <c r="A119" s="3"/>
      <c r="C119" s="5"/>
      <c r="D119" s="5"/>
      <c r="E119" s="5"/>
      <c r="F119" s="5"/>
    </row>
    <row r="120" spans="1:6" x14ac:dyDescent="0.25">
      <c r="A120" s="3"/>
      <c r="C120" s="5"/>
      <c r="D120" s="5"/>
      <c r="E120" s="5"/>
      <c r="F120" s="5"/>
    </row>
    <row r="121" spans="1:6" x14ac:dyDescent="0.25">
      <c r="A121" s="3"/>
      <c r="C121" s="5"/>
      <c r="D121" s="5"/>
      <c r="E121" s="5"/>
      <c r="F121" s="5"/>
    </row>
    <row r="122" spans="1:6" x14ac:dyDescent="0.25">
      <c r="A122" s="3"/>
      <c r="C122" s="5"/>
      <c r="D122" s="5"/>
      <c r="E122" s="5"/>
      <c r="F122" s="5"/>
    </row>
    <row r="123" spans="1:6" x14ac:dyDescent="0.25">
      <c r="A123" s="3"/>
      <c r="C123" s="5"/>
      <c r="D123" s="5"/>
      <c r="E123" s="5"/>
      <c r="F123" s="5"/>
    </row>
    <row r="124" spans="1:6" x14ac:dyDescent="0.25">
      <c r="A124" s="3"/>
      <c r="C124" s="5"/>
      <c r="D124" s="5"/>
      <c r="E124" s="5"/>
      <c r="F124" s="5"/>
    </row>
    <row r="125" spans="1:6" x14ac:dyDescent="0.25">
      <c r="A125" s="3"/>
      <c r="C125" s="5"/>
      <c r="D125" s="5"/>
      <c r="E125" s="5"/>
      <c r="F125" s="5"/>
    </row>
    <row r="126" spans="1:6" x14ac:dyDescent="0.25">
      <c r="A126" s="3"/>
      <c r="C126" s="5"/>
      <c r="D126" s="5"/>
      <c r="E126" s="5"/>
      <c r="F126" s="5"/>
    </row>
    <row r="127" spans="1:6" x14ac:dyDescent="0.25">
      <c r="C127" s="5"/>
      <c r="D127" s="5"/>
      <c r="E127" s="5"/>
      <c r="F127" s="5"/>
    </row>
    <row r="128" spans="1:6" x14ac:dyDescent="0.25">
      <c r="A128" s="3"/>
      <c r="C128" s="5"/>
      <c r="D128" s="5"/>
      <c r="E128" s="5"/>
      <c r="F128" s="5"/>
    </row>
    <row r="129" spans="1:6" x14ac:dyDescent="0.25">
      <c r="A129" s="3"/>
      <c r="C129" s="5"/>
      <c r="D129" s="5"/>
      <c r="E129" s="5"/>
      <c r="F129" s="5"/>
    </row>
    <row r="130" spans="1:6" x14ac:dyDescent="0.25">
      <c r="A130" s="3"/>
      <c r="C130" s="5"/>
      <c r="D130" s="5"/>
      <c r="E130" s="5"/>
      <c r="F130" s="5"/>
    </row>
    <row r="131" spans="1:6" x14ac:dyDescent="0.25">
      <c r="A131" s="3"/>
      <c r="C131" s="5"/>
      <c r="D131" s="5"/>
      <c r="E131" s="5"/>
      <c r="F131" s="5"/>
    </row>
    <row r="132" spans="1:6" x14ac:dyDescent="0.25">
      <c r="A132" s="3"/>
      <c r="C132" s="5"/>
      <c r="D132" s="5"/>
      <c r="E132" s="5"/>
      <c r="F132" s="5"/>
    </row>
    <row r="133" spans="1:6" x14ac:dyDescent="0.25">
      <c r="A133" s="3"/>
      <c r="C133" s="5"/>
      <c r="D133" s="5"/>
      <c r="E133" s="5"/>
      <c r="F133" s="5"/>
    </row>
    <row r="134" spans="1:6" x14ac:dyDescent="0.25">
      <c r="A134" s="3"/>
      <c r="C134" s="5"/>
      <c r="D134" s="5"/>
      <c r="E134" s="5"/>
      <c r="F134" s="5"/>
    </row>
    <row r="135" spans="1:6" x14ac:dyDescent="0.25">
      <c r="A135" s="3"/>
      <c r="C135" s="5"/>
      <c r="D135" s="5"/>
      <c r="E135" s="5"/>
      <c r="F135" s="5"/>
    </row>
    <row r="136" spans="1:6" x14ac:dyDescent="0.25">
      <c r="A136" s="3"/>
      <c r="C136" s="5"/>
      <c r="D136" s="5"/>
      <c r="E136" s="5"/>
      <c r="F136" s="5"/>
    </row>
    <row r="137" spans="1:6" x14ac:dyDescent="0.25">
      <c r="A137" s="3"/>
      <c r="C137" s="5"/>
      <c r="D137" s="5"/>
      <c r="E137" s="5"/>
      <c r="F137" s="5"/>
    </row>
    <row r="138" spans="1:6" x14ac:dyDescent="0.25">
      <c r="A138" s="3"/>
      <c r="C138" s="5"/>
      <c r="D138" s="5"/>
      <c r="E138" s="5"/>
      <c r="F138" s="5"/>
    </row>
    <row r="139" spans="1:6" x14ac:dyDescent="0.25">
      <c r="A139" s="3"/>
      <c r="C139" s="5"/>
      <c r="D139" s="5"/>
      <c r="E139" s="5"/>
      <c r="F139" s="5"/>
    </row>
    <row r="140" spans="1:6" x14ac:dyDescent="0.25">
      <c r="A140" s="3"/>
      <c r="C140" s="5"/>
      <c r="D140" s="5"/>
      <c r="E140" s="5"/>
      <c r="F140" s="5"/>
    </row>
    <row r="141" spans="1:6" x14ac:dyDescent="0.25">
      <c r="A141" s="3"/>
      <c r="C141" s="5"/>
      <c r="D141" s="5"/>
      <c r="E141" s="5"/>
      <c r="F141" s="5"/>
    </row>
    <row r="142" spans="1:6" x14ac:dyDescent="0.25">
      <c r="A142" s="3"/>
      <c r="C142" s="5"/>
      <c r="D142" s="5"/>
      <c r="E142" s="5"/>
      <c r="F142" s="5"/>
    </row>
    <row r="143" spans="1:6" x14ac:dyDescent="0.25">
      <c r="A143" s="3"/>
      <c r="C143" s="5"/>
      <c r="D143" s="5"/>
      <c r="E143" s="5"/>
      <c r="F143" s="5"/>
    </row>
    <row r="144" spans="1:6" x14ac:dyDescent="0.25">
      <c r="A144" s="3"/>
      <c r="C144" s="5"/>
      <c r="D144" s="5"/>
      <c r="E144" s="5"/>
      <c r="F144" s="5"/>
    </row>
    <row r="145" spans="1:6" x14ac:dyDescent="0.25">
      <c r="A145" s="3"/>
      <c r="C145" s="5"/>
      <c r="D145" s="5"/>
      <c r="E145" s="5"/>
      <c r="F145" s="5"/>
    </row>
    <row r="146" spans="1:6" x14ac:dyDescent="0.25">
      <c r="A146" s="3"/>
      <c r="C146" s="5"/>
      <c r="D146" s="5"/>
      <c r="E146" s="5"/>
      <c r="F146" s="5"/>
    </row>
    <row r="147" spans="1:6" x14ac:dyDescent="0.25">
      <c r="A147" s="3"/>
      <c r="C147" s="5"/>
      <c r="D147" s="5"/>
      <c r="E147" s="5"/>
      <c r="F147" s="5"/>
    </row>
    <row r="148" spans="1:6" x14ac:dyDescent="0.25">
      <c r="A148" s="3"/>
      <c r="C148" s="5"/>
      <c r="D148" s="5"/>
      <c r="E148" s="5"/>
      <c r="F148" s="5"/>
    </row>
    <row r="149" spans="1:6" x14ac:dyDescent="0.25">
      <c r="C149" s="5"/>
      <c r="D149" s="5"/>
      <c r="E149" s="5"/>
      <c r="F149" s="5"/>
    </row>
    <row r="150" spans="1:6" x14ac:dyDescent="0.25">
      <c r="A150" s="3"/>
      <c r="C150" s="5"/>
      <c r="D150" s="5"/>
      <c r="E150" s="5"/>
      <c r="F150" s="5"/>
    </row>
    <row r="151" spans="1:6" x14ac:dyDescent="0.25">
      <c r="A151" s="3"/>
      <c r="C151" s="5"/>
      <c r="D151" s="5"/>
      <c r="E151" s="5"/>
      <c r="F151" s="5"/>
    </row>
    <row r="152" spans="1:6" x14ac:dyDescent="0.25">
      <c r="A152" s="3"/>
      <c r="C152" s="5"/>
      <c r="D152" s="5"/>
      <c r="E152" s="5"/>
      <c r="F152" s="5"/>
    </row>
    <row r="153" spans="1:6" x14ac:dyDescent="0.25">
      <c r="A153" s="3"/>
      <c r="C153" s="5"/>
      <c r="D153" s="5"/>
      <c r="E153" s="5"/>
      <c r="F153" s="5"/>
    </row>
    <row r="154" spans="1:6" x14ac:dyDescent="0.25">
      <c r="A154" s="3"/>
      <c r="C154" s="5"/>
      <c r="D154" s="5"/>
      <c r="E154" s="5"/>
      <c r="F154" s="5"/>
    </row>
    <row r="155" spans="1:6" x14ac:dyDescent="0.25">
      <c r="A155" s="3"/>
      <c r="C155" s="5"/>
      <c r="D155" s="5"/>
      <c r="E155" s="5"/>
      <c r="F155" s="5"/>
    </row>
    <row r="156" spans="1:6" x14ac:dyDescent="0.25">
      <c r="A156" s="3"/>
      <c r="C156" s="5"/>
      <c r="D156" s="5"/>
      <c r="E156" s="5"/>
      <c r="F156" s="5"/>
    </row>
    <row r="157" spans="1:6" x14ac:dyDescent="0.25">
      <c r="A157" s="3"/>
      <c r="C157" s="5"/>
      <c r="D157" s="5"/>
      <c r="E157" s="5"/>
      <c r="F157" s="5"/>
    </row>
    <row r="158" spans="1:6" x14ac:dyDescent="0.25">
      <c r="A158" s="3"/>
      <c r="C158" s="5"/>
      <c r="D158" s="5"/>
      <c r="E158" s="5"/>
      <c r="F158" s="5"/>
    </row>
    <row r="159" spans="1:6" x14ac:dyDescent="0.25">
      <c r="A159" s="3"/>
      <c r="C159" s="5"/>
      <c r="D159" s="5"/>
      <c r="E159" s="5"/>
      <c r="F159" s="5"/>
    </row>
    <row r="160" spans="1:6" x14ac:dyDescent="0.25">
      <c r="A160" s="3"/>
      <c r="C160" s="5"/>
      <c r="D160" s="5"/>
      <c r="E160" s="5"/>
      <c r="F160" s="5"/>
    </row>
    <row r="161" spans="1:6" x14ac:dyDescent="0.25">
      <c r="A161" s="3"/>
      <c r="C161" s="5"/>
      <c r="D161" s="5"/>
      <c r="E161" s="5"/>
      <c r="F161" s="5"/>
    </row>
    <row r="162" spans="1:6" x14ac:dyDescent="0.25">
      <c r="A162" s="3"/>
      <c r="C162" s="5"/>
      <c r="D162" s="5"/>
      <c r="E162" s="5"/>
      <c r="F162" s="5"/>
    </row>
    <row r="163" spans="1:6" x14ac:dyDescent="0.25">
      <c r="A163" s="3"/>
      <c r="C163" s="5"/>
      <c r="D163" s="5"/>
      <c r="E163" s="5"/>
      <c r="F163" s="5"/>
    </row>
    <row r="164" spans="1:6" x14ac:dyDescent="0.25">
      <c r="A164" s="3"/>
      <c r="C164" s="5"/>
      <c r="D164" s="5"/>
      <c r="E164" s="5"/>
      <c r="F164" s="5"/>
    </row>
    <row r="165" spans="1:6" x14ac:dyDescent="0.25">
      <c r="A165" s="3"/>
      <c r="C165" s="5"/>
      <c r="D165" s="5"/>
      <c r="E165" s="5"/>
      <c r="F165" s="5"/>
    </row>
    <row r="166" spans="1:6" x14ac:dyDescent="0.25">
      <c r="A166" s="3"/>
      <c r="C166" s="5"/>
      <c r="D166" s="5"/>
      <c r="E166" s="5"/>
      <c r="F166" s="5"/>
    </row>
    <row r="167" spans="1:6" x14ac:dyDescent="0.25">
      <c r="A167" s="3"/>
      <c r="C167" s="5"/>
      <c r="D167" s="5"/>
      <c r="E167" s="5"/>
      <c r="F167" s="5"/>
    </row>
    <row r="168" spans="1:6" x14ac:dyDescent="0.25">
      <c r="A168" s="3"/>
      <c r="C168" s="5"/>
      <c r="D168" s="5"/>
      <c r="E168" s="5"/>
      <c r="F168" s="5"/>
    </row>
    <row r="169" spans="1:6" x14ac:dyDescent="0.25">
      <c r="A169" s="3"/>
      <c r="C169" s="5"/>
      <c r="D169" s="5"/>
      <c r="E169" s="5"/>
      <c r="F169" s="5"/>
    </row>
    <row r="170" spans="1:6" x14ac:dyDescent="0.25">
      <c r="A170" s="3"/>
      <c r="C170" s="5"/>
      <c r="D170" s="5"/>
      <c r="E170" s="5"/>
      <c r="F170" s="5"/>
    </row>
    <row r="171" spans="1:6" x14ac:dyDescent="0.25">
      <c r="C171" s="5"/>
      <c r="D171" s="5"/>
      <c r="E171" s="5"/>
      <c r="F171" s="5"/>
    </row>
    <row r="172" spans="1:6" x14ac:dyDescent="0.25">
      <c r="A172" s="3"/>
      <c r="C172" s="5"/>
      <c r="D172" s="5"/>
      <c r="E172" s="5"/>
      <c r="F172" s="5"/>
    </row>
    <row r="173" spans="1:6" x14ac:dyDescent="0.25">
      <c r="A173" s="3"/>
      <c r="C173" s="5"/>
      <c r="D173" s="5"/>
      <c r="E173" s="5"/>
      <c r="F173" s="5"/>
    </row>
    <row r="174" spans="1:6" x14ac:dyDescent="0.25">
      <c r="A174" s="3"/>
      <c r="C174" s="5"/>
      <c r="D174" s="5"/>
      <c r="E174" s="5"/>
      <c r="F174" s="5"/>
    </row>
    <row r="175" spans="1:6" x14ac:dyDescent="0.25">
      <c r="A175" s="3"/>
      <c r="C175" s="5"/>
      <c r="D175" s="5"/>
      <c r="E175" s="5"/>
      <c r="F175" s="5"/>
    </row>
    <row r="176" spans="1:6" x14ac:dyDescent="0.25">
      <c r="A176" s="3"/>
      <c r="C176" s="5"/>
      <c r="D176" s="5"/>
      <c r="E176" s="5"/>
      <c r="F176" s="5"/>
    </row>
    <row r="177" spans="1:6" x14ac:dyDescent="0.25">
      <c r="A177" s="3"/>
      <c r="C177" s="5"/>
      <c r="D177" s="5"/>
      <c r="E177" s="5"/>
      <c r="F177" s="5"/>
    </row>
    <row r="178" spans="1:6" x14ac:dyDescent="0.25">
      <c r="A178" s="3"/>
      <c r="C178" s="5"/>
      <c r="D178" s="5"/>
      <c r="E178" s="5"/>
      <c r="F178" s="5"/>
    </row>
    <row r="179" spans="1:6" x14ac:dyDescent="0.25">
      <c r="A179" s="3"/>
      <c r="C179" s="5"/>
      <c r="D179" s="5"/>
      <c r="E179" s="5"/>
      <c r="F179" s="5"/>
    </row>
    <row r="180" spans="1:6" x14ac:dyDescent="0.25">
      <c r="A180" s="3"/>
      <c r="C180" s="5"/>
      <c r="D180" s="5"/>
      <c r="E180" s="5"/>
      <c r="F180" s="5"/>
    </row>
    <row r="181" spans="1:6" x14ac:dyDescent="0.25">
      <c r="A181" s="3"/>
      <c r="C181" s="5"/>
      <c r="D181" s="5"/>
      <c r="E181" s="5"/>
      <c r="F181" s="5"/>
    </row>
    <row r="182" spans="1:6" x14ac:dyDescent="0.25">
      <c r="A182" s="3"/>
      <c r="C182" s="5"/>
      <c r="D182" s="5"/>
      <c r="E182" s="5"/>
      <c r="F182" s="5"/>
    </row>
    <row r="183" spans="1:6" x14ac:dyDescent="0.25">
      <c r="A183" s="3"/>
      <c r="C183" s="5"/>
      <c r="D183" s="5"/>
      <c r="E183" s="5"/>
      <c r="F183" s="5"/>
    </row>
    <row r="184" spans="1:6" x14ac:dyDescent="0.25">
      <c r="A184" s="3"/>
      <c r="C184" s="5"/>
      <c r="D184" s="5"/>
      <c r="E184" s="5"/>
      <c r="F184" s="5"/>
    </row>
    <row r="185" spans="1:6" x14ac:dyDescent="0.25">
      <c r="A185" s="3"/>
      <c r="C185" s="5"/>
      <c r="D185" s="5"/>
      <c r="E185" s="5"/>
      <c r="F185" s="5"/>
    </row>
    <row r="186" spans="1:6" x14ac:dyDescent="0.25">
      <c r="A186" s="3"/>
      <c r="C186" s="5"/>
      <c r="D186" s="5"/>
      <c r="E186" s="5"/>
      <c r="F186" s="5"/>
    </row>
    <row r="187" spans="1:6" x14ac:dyDescent="0.25">
      <c r="A187" s="3"/>
      <c r="C187" s="5"/>
      <c r="D187" s="5"/>
      <c r="E187" s="5"/>
      <c r="F187" s="5"/>
    </row>
    <row r="188" spans="1:6" x14ac:dyDescent="0.25">
      <c r="A188" s="3"/>
      <c r="C188" s="5"/>
      <c r="D188" s="5"/>
      <c r="E188" s="5"/>
      <c r="F188" s="5"/>
    </row>
    <row r="189" spans="1:6" x14ac:dyDescent="0.25">
      <c r="A189" s="3"/>
      <c r="C189" s="5"/>
      <c r="D189" s="5"/>
      <c r="E189" s="5"/>
      <c r="F189" s="5"/>
    </row>
    <row r="190" spans="1:6" x14ac:dyDescent="0.25">
      <c r="A190" s="3"/>
      <c r="C190" s="5"/>
      <c r="D190" s="5"/>
      <c r="E190" s="5"/>
      <c r="F190" s="5"/>
    </row>
    <row r="191" spans="1:6" x14ac:dyDescent="0.25">
      <c r="A191" s="3"/>
      <c r="C191" s="5"/>
      <c r="D191" s="5"/>
      <c r="E191" s="5"/>
      <c r="F191" s="5"/>
    </row>
    <row r="192" spans="1:6" x14ac:dyDescent="0.25">
      <c r="A192" s="3"/>
    </row>
    <row r="193" spans="1:6" x14ac:dyDescent="0.25">
      <c r="A193" s="77"/>
      <c r="B193" s="77"/>
      <c r="C193" s="77"/>
      <c r="D193" s="77"/>
      <c r="E193" s="77"/>
      <c r="F193" s="77"/>
    </row>
    <row r="194" spans="1:6" x14ac:dyDescent="0.25">
      <c r="A194" s="77"/>
      <c r="B194" s="77"/>
      <c r="C194" s="77"/>
      <c r="D194" s="77"/>
      <c r="E194" s="77"/>
      <c r="F194" s="77"/>
    </row>
    <row r="195" spans="1:6" x14ac:dyDescent="0.25">
      <c r="A195" s="78"/>
      <c r="B195" s="78"/>
      <c r="C195" s="78"/>
      <c r="D195" s="78"/>
      <c r="E195" s="78"/>
      <c r="F195" s="78"/>
    </row>
    <row r="196" spans="1:6" x14ac:dyDescent="0.25">
      <c r="A196" s="78"/>
      <c r="B196" s="78"/>
      <c r="C196" s="78"/>
      <c r="D196" s="78"/>
      <c r="E196" s="78"/>
      <c r="F196" s="78"/>
    </row>
    <row r="197" spans="1:6" x14ac:dyDescent="0.25">
      <c r="A197" s="78"/>
      <c r="B197" s="78"/>
      <c r="C197" s="78"/>
      <c r="D197" s="78"/>
      <c r="E197" s="78"/>
      <c r="F197" s="78"/>
    </row>
    <row r="198" spans="1:6" x14ac:dyDescent="0.25">
      <c r="A198" s="78"/>
      <c r="B198" s="78"/>
      <c r="C198" s="78"/>
      <c r="D198" s="78"/>
      <c r="E198" s="78"/>
      <c r="F198" s="78"/>
    </row>
    <row r="199" spans="1:6" x14ac:dyDescent="0.25">
      <c r="A199" s="78"/>
      <c r="B199" s="78"/>
      <c r="C199" s="78"/>
      <c r="D199" s="78"/>
      <c r="E199" s="78"/>
      <c r="F199" s="78"/>
    </row>
    <row r="200" spans="1:6" x14ac:dyDescent="0.25">
      <c r="A200" s="78"/>
      <c r="B200" s="78"/>
      <c r="C200" s="78"/>
      <c r="D200" s="78"/>
      <c r="E200" s="78"/>
      <c r="F200" s="78"/>
    </row>
    <row r="201" spans="1:6" x14ac:dyDescent="0.25">
      <c r="A201" s="78"/>
      <c r="B201" s="78"/>
      <c r="C201" s="78"/>
      <c r="D201" s="78"/>
      <c r="E201" s="78"/>
      <c r="F201" s="78"/>
    </row>
    <row r="202" spans="1:6" x14ac:dyDescent="0.25">
      <c r="A202" s="78"/>
      <c r="B202" s="78"/>
      <c r="C202" s="78"/>
      <c r="D202" s="78"/>
      <c r="E202" s="78"/>
      <c r="F202" s="78"/>
    </row>
    <row r="203" spans="1:6" x14ac:dyDescent="0.25">
      <c r="A203" s="78"/>
      <c r="B203" s="78"/>
      <c r="C203" s="78"/>
      <c r="D203" s="78"/>
      <c r="E203" s="78"/>
      <c r="F203" s="78"/>
    </row>
    <row r="204" spans="1:6" x14ac:dyDescent="0.25">
      <c r="A204" s="78"/>
      <c r="B204" s="78"/>
      <c r="C204" s="78"/>
      <c r="D204" s="78"/>
      <c r="E204" s="78"/>
      <c r="F204" s="78"/>
    </row>
  </sheetData>
  <mergeCells count="14">
    <mergeCell ref="A193:F194"/>
    <mergeCell ref="A195:F204"/>
    <mergeCell ref="A45:D45"/>
    <mergeCell ref="A3:D3"/>
    <mergeCell ref="A5:A7"/>
    <mergeCell ref="A9:A11"/>
    <mergeCell ref="A13:A15"/>
    <mergeCell ref="A17:A19"/>
    <mergeCell ref="A21:A23"/>
    <mergeCell ref="A25:A27"/>
    <mergeCell ref="A29:A31"/>
    <mergeCell ref="A33:A35"/>
    <mergeCell ref="A37:A39"/>
    <mergeCell ref="A41:A4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
  <sheetViews>
    <sheetView workbookViewId="0"/>
  </sheetViews>
  <sheetFormatPr defaultColWidth="9.140625" defaultRowHeight="15" x14ac:dyDescent="0.25"/>
  <cols>
    <col min="1" max="1" width="14.5703125" style="10" customWidth="1"/>
    <col min="2" max="5" width="14.5703125" style="4" customWidth="1"/>
    <col min="6" max="6" width="23.140625" style="4" bestFit="1" customWidth="1"/>
    <col min="7" max="7" width="25.5703125" style="4" bestFit="1" customWidth="1"/>
    <col min="8" max="16384" width="9.140625" style="4"/>
  </cols>
  <sheetData>
    <row r="1" spans="1:12" x14ac:dyDescent="0.25">
      <c r="A1" s="6" t="s">
        <v>4</v>
      </c>
    </row>
    <row r="2" spans="1:12" x14ac:dyDescent="0.25">
      <c r="A2" s="7"/>
      <c r="B2" s="3"/>
      <c r="C2" s="3"/>
      <c r="D2" s="3"/>
      <c r="E2" s="3"/>
      <c r="F2" s="3"/>
      <c r="G2" s="3"/>
    </row>
    <row r="3" spans="1:12" ht="25.5" x14ac:dyDescent="0.25">
      <c r="A3" s="11" t="s">
        <v>16</v>
      </c>
      <c r="B3" s="48" t="s">
        <v>17</v>
      </c>
      <c r="C3" s="48" t="s">
        <v>49</v>
      </c>
      <c r="D3" s="48" t="s">
        <v>50</v>
      </c>
      <c r="E3" s="48" t="s">
        <v>18</v>
      </c>
      <c r="F3" s="5"/>
      <c r="G3" s="5"/>
    </row>
    <row r="4" spans="1:12" x14ac:dyDescent="0.25">
      <c r="A4" s="81" t="s">
        <v>23</v>
      </c>
      <c r="B4" s="1">
        <v>2014</v>
      </c>
      <c r="C4" s="62">
        <v>0.56000000000000005</v>
      </c>
      <c r="D4" s="62">
        <v>0.28999999999999998</v>
      </c>
      <c r="E4" s="61">
        <v>0.05</v>
      </c>
      <c r="F4" s="5"/>
      <c r="G4" s="5"/>
      <c r="J4" s="9"/>
      <c r="K4" s="9"/>
      <c r="L4" s="9"/>
    </row>
    <row r="5" spans="1:12" x14ac:dyDescent="0.25">
      <c r="A5" s="81"/>
      <c r="B5" s="1">
        <v>2015</v>
      </c>
      <c r="C5" s="62">
        <v>0.57999999999999996</v>
      </c>
      <c r="D5" s="62">
        <v>0.27</v>
      </c>
      <c r="E5" s="61"/>
      <c r="F5" s="5"/>
      <c r="G5" s="5"/>
      <c r="J5" s="9"/>
      <c r="K5" s="9"/>
    </row>
    <row r="6" spans="1:12" x14ac:dyDescent="0.25">
      <c r="A6" s="81"/>
      <c r="B6" s="1">
        <v>2016</v>
      </c>
      <c r="C6" s="62">
        <v>0.56999999999999995</v>
      </c>
      <c r="D6" s="62"/>
      <c r="E6" s="61"/>
      <c r="F6" s="5"/>
      <c r="G6" s="5"/>
      <c r="J6" s="9"/>
    </row>
    <row r="7" spans="1:12" x14ac:dyDescent="0.25">
      <c r="A7" s="47" t="s">
        <v>24</v>
      </c>
      <c r="B7" s="1"/>
      <c r="C7" s="62"/>
      <c r="D7" s="62"/>
      <c r="E7" s="61"/>
      <c r="F7" s="5"/>
      <c r="G7" s="5"/>
    </row>
    <row r="8" spans="1:12" x14ac:dyDescent="0.25">
      <c r="A8" s="81" t="s">
        <v>25</v>
      </c>
      <c r="B8" s="1">
        <v>2014</v>
      </c>
      <c r="C8" s="62">
        <v>0.56000000000000005</v>
      </c>
      <c r="D8" s="62">
        <v>0.28000000000000003</v>
      </c>
      <c r="E8" s="61">
        <v>0.05</v>
      </c>
      <c r="F8" s="5"/>
      <c r="G8" s="5"/>
      <c r="J8" s="9"/>
      <c r="K8" s="9"/>
      <c r="L8" s="9"/>
    </row>
    <row r="9" spans="1:12" x14ac:dyDescent="0.25">
      <c r="A9" s="81"/>
      <c r="B9" s="1">
        <v>2015</v>
      </c>
      <c r="C9" s="62">
        <v>0.61</v>
      </c>
      <c r="D9" s="62">
        <v>0.27</v>
      </c>
      <c r="E9" s="61"/>
      <c r="F9" s="5"/>
      <c r="G9" s="5"/>
      <c r="J9" s="9"/>
      <c r="K9" s="9"/>
    </row>
    <row r="10" spans="1:12" x14ac:dyDescent="0.25">
      <c r="A10" s="81"/>
      <c r="B10" s="1">
        <v>2016</v>
      </c>
      <c r="C10" s="62">
        <v>0.61</v>
      </c>
      <c r="D10" s="62"/>
      <c r="E10" s="61"/>
      <c r="F10" s="5"/>
      <c r="G10" s="5"/>
      <c r="J10" s="9"/>
    </row>
    <row r="11" spans="1:12" x14ac:dyDescent="0.25">
      <c r="A11" s="47" t="s">
        <v>24</v>
      </c>
      <c r="B11" s="1"/>
      <c r="C11" s="62"/>
      <c r="D11" s="62"/>
      <c r="E11" s="61"/>
      <c r="F11" s="5"/>
      <c r="G11" s="5"/>
    </row>
    <row r="12" spans="1:12" x14ac:dyDescent="0.25">
      <c r="A12" s="81" t="s">
        <v>26</v>
      </c>
      <c r="B12" s="1">
        <v>2014</v>
      </c>
      <c r="C12" s="62">
        <v>0.52</v>
      </c>
      <c r="D12" s="62">
        <v>0.3</v>
      </c>
      <c r="E12" s="61">
        <v>0.05</v>
      </c>
      <c r="F12" s="5"/>
      <c r="G12" s="5"/>
      <c r="J12" s="9"/>
      <c r="K12" s="9"/>
      <c r="L12" s="9"/>
    </row>
    <row r="13" spans="1:12" x14ac:dyDescent="0.25">
      <c r="A13" s="81"/>
      <c r="B13" s="1">
        <v>2015</v>
      </c>
      <c r="C13" s="62">
        <v>0.55000000000000004</v>
      </c>
      <c r="D13" s="62">
        <v>0.3</v>
      </c>
      <c r="E13" s="61"/>
      <c r="F13" s="5"/>
      <c r="G13" s="5"/>
      <c r="J13" s="9"/>
      <c r="K13" s="9"/>
    </row>
    <row r="14" spans="1:12" x14ac:dyDescent="0.25">
      <c r="A14" s="81"/>
      <c r="B14" s="1">
        <v>2016</v>
      </c>
      <c r="C14" s="62">
        <v>0.55000000000000004</v>
      </c>
      <c r="D14" s="62"/>
      <c r="E14" s="61"/>
      <c r="F14" s="5"/>
      <c r="G14" s="5"/>
      <c r="J14" s="9"/>
    </row>
    <row r="15" spans="1:12" x14ac:dyDescent="0.25">
      <c r="A15" s="47" t="s">
        <v>24</v>
      </c>
      <c r="B15" s="1"/>
      <c r="C15" s="62"/>
      <c r="D15" s="62"/>
      <c r="E15" s="61"/>
      <c r="F15" s="5"/>
      <c r="G15" s="5"/>
    </row>
    <row r="16" spans="1:12" x14ac:dyDescent="0.25">
      <c r="A16" s="81" t="s">
        <v>27</v>
      </c>
      <c r="B16" s="1">
        <v>2014</v>
      </c>
      <c r="C16" s="62">
        <v>0.51</v>
      </c>
      <c r="D16" s="62">
        <v>0.33</v>
      </c>
      <c r="E16" s="61">
        <v>0.04</v>
      </c>
      <c r="F16" s="5"/>
      <c r="G16" s="5"/>
      <c r="J16" s="9"/>
      <c r="K16" s="9"/>
      <c r="L16" s="9"/>
    </row>
    <row r="17" spans="1:12" x14ac:dyDescent="0.25">
      <c r="A17" s="81"/>
      <c r="B17" s="1">
        <v>2015</v>
      </c>
      <c r="C17" s="62">
        <v>0.54</v>
      </c>
      <c r="D17" s="62">
        <v>0.31</v>
      </c>
      <c r="E17" s="61"/>
      <c r="F17" s="5"/>
      <c r="G17" s="5"/>
      <c r="J17" s="9"/>
      <c r="K17" s="9"/>
    </row>
    <row r="18" spans="1:12" x14ac:dyDescent="0.25">
      <c r="A18" s="81"/>
      <c r="B18" s="1">
        <v>2016</v>
      </c>
      <c r="C18" s="62">
        <v>0.55000000000000004</v>
      </c>
      <c r="D18" s="62"/>
      <c r="E18" s="61"/>
      <c r="F18" s="5"/>
      <c r="G18" s="5"/>
      <c r="J18" s="9"/>
    </row>
    <row r="19" spans="1:12" x14ac:dyDescent="0.25">
      <c r="A19" s="47" t="s">
        <v>24</v>
      </c>
      <c r="B19" s="1"/>
      <c r="C19" s="62"/>
      <c r="D19" s="62"/>
      <c r="E19" s="61"/>
      <c r="F19" s="5"/>
      <c r="G19" s="5"/>
    </row>
    <row r="20" spans="1:12" x14ac:dyDescent="0.25">
      <c r="A20" s="81" t="s">
        <v>28</v>
      </c>
      <c r="B20" s="1">
        <v>2014</v>
      </c>
      <c r="C20" s="62">
        <v>0.65</v>
      </c>
      <c r="D20" s="62">
        <v>0.24</v>
      </c>
      <c r="E20" s="61">
        <v>0.03</v>
      </c>
      <c r="F20" s="5"/>
      <c r="G20" s="5"/>
      <c r="J20" s="9"/>
      <c r="K20" s="9"/>
      <c r="L20" s="9"/>
    </row>
    <row r="21" spans="1:12" x14ac:dyDescent="0.25">
      <c r="A21" s="81"/>
      <c r="B21" s="1">
        <v>2015</v>
      </c>
      <c r="C21" s="62">
        <v>0.68</v>
      </c>
      <c r="D21" s="62">
        <v>0.2</v>
      </c>
      <c r="E21" s="61"/>
      <c r="F21" s="5"/>
      <c r="G21" s="5"/>
      <c r="J21" s="9"/>
      <c r="K21" s="9"/>
    </row>
    <row r="22" spans="1:12" x14ac:dyDescent="0.25">
      <c r="A22" s="81"/>
      <c r="B22" s="1">
        <v>2016</v>
      </c>
      <c r="C22" s="62">
        <v>0.67</v>
      </c>
      <c r="D22" s="62"/>
      <c r="E22" s="61"/>
      <c r="F22" s="5"/>
      <c r="G22" s="5"/>
      <c r="J22" s="9"/>
    </row>
    <row r="23" spans="1:12" x14ac:dyDescent="0.25">
      <c r="A23" s="47" t="s">
        <v>24</v>
      </c>
      <c r="B23" s="1"/>
      <c r="C23" s="62"/>
      <c r="D23" s="62"/>
      <c r="E23" s="61"/>
      <c r="F23" s="5"/>
      <c r="G23" s="5"/>
    </row>
    <row r="24" spans="1:12" x14ac:dyDescent="0.25">
      <c r="A24" s="81" t="s">
        <v>29</v>
      </c>
      <c r="B24" s="1">
        <v>2014</v>
      </c>
      <c r="C24" s="62">
        <v>0.4</v>
      </c>
      <c r="D24" s="62">
        <v>0.44</v>
      </c>
      <c r="E24" s="61">
        <v>0.03</v>
      </c>
      <c r="F24" s="5"/>
      <c r="G24" s="5"/>
      <c r="J24" s="9"/>
      <c r="K24" s="9"/>
      <c r="L24" s="9"/>
    </row>
    <row r="25" spans="1:12" x14ac:dyDescent="0.25">
      <c r="A25" s="81"/>
      <c r="B25" s="1">
        <v>2015</v>
      </c>
      <c r="C25" s="62">
        <v>0.52</v>
      </c>
      <c r="D25" s="62">
        <v>0.31</v>
      </c>
      <c r="E25" s="61"/>
      <c r="F25" s="5"/>
      <c r="G25" s="5"/>
      <c r="J25" s="9"/>
      <c r="K25" s="9"/>
    </row>
    <row r="26" spans="1:12" x14ac:dyDescent="0.25">
      <c r="A26" s="81"/>
      <c r="B26" s="1">
        <v>2016</v>
      </c>
      <c r="C26" s="62">
        <v>0.47</v>
      </c>
      <c r="D26" s="62"/>
      <c r="E26" s="61"/>
      <c r="F26" s="5"/>
      <c r="G26" s="5"/>
      <c r="J26" s="9"/>
    </row>
    <row r="27" spans="1:12" x14ac:dyDescent="0.25">
      <c r="A27" s="47" t="s">
        <v>24</v>
      </c>
      <c r="B27" s="1"/>
      <c r="C27" s="62"/>
      <c r="D27" s="62"/>
      <c r="E27" s="61"/>
      <c r="F27" s="5"/>
      <c r="G27" s="5"/>
    </row>
    <row r="28" spans="1:12" x14ac:dyDescent="0.25">
      <c r="A28" s="81" t="s">
        <v>30</v>
      </c>
      <c r="B28" s="1">
        <v>2014</v>
      </c>
      <c r="C28" s="62">
        <v>0.61</v>
      </c>
      <c r="D28" s="62">
        <v>0.23</v>
      </c>
      <c r="E28" s="61">
        <v>0.03</v>
      </c>
      <c r="F28" s="5"/>
      <c r="G28" s="5"/>
      <c r="J28" s="9"/>
      <c r="K28" s="9"/>
      <c r="L28" s="9"/>
    </row>
    <row r="29" spans="1:12" x14ac:dyDescent="0.25">
      <c r="A29" s="81"/>
      <c r="B29" s="1">
        <v>2015</v>
      </c>
      <c r="C29" s="62">
        <v>0.56000000000000005</v>
      </c>
      <c r="D29" s="62">
        <v>0.24</v>
      </c>
      <c r="E29" s="61"/>
      <c r="F29" s="5"/>
      <c r="G29" s="5"/>
      <c r="J29" s="9"/>
      <c r="K29" s="9"/>
    </row>
    <row r="30" spans="1:12" x14ac:dyDescent="0.25">
      <c r="A30" s="81"/>
      <c r="B30" s="1">
        <v>2016</v>
      </c>
      <c r="C30" s="62">
        <v>0.59</v>
      </c>
      <c r="D30" s="62"/>
      <c r="E30" s="61"/>
      <c r="F30" s="5"/>
      <c r="G30" s="5"/>
      <c r="J30" s="9"/>
    </row>
    <row r="31" spans="1:12" x14ac:dyDescent="0.25">
      <c r="A31" s="47" t="s">
        <v>24</v>
      </c>
      <c r="B31" s="1"/>
      <c r="C31" s="62"/>
      <c r="D31" s="62"/>
      <c r="E31" s="61"/>
      <c r="F31" s="5"/>
      <c r="G31" s="5"/>
    </row>
    <row r="32" spans="1:12" x14ac:dyDescent="0.25">
      <c r="A32" s="81" t="s">
        <v>31</v>
      </c>
      <c r="B32" s="1">
        <v>2014</v>
      </c>
      <c r="C32" s="62">
        <v>0.4</v>
      </c>
      <c r="D32" s="62">
        <v>0.39</v>
      </c>
      <c r="E32" s="61">
        <v>0.09</v>
      </c>
      <c r="F32" s="5"/>
      <c r="G32" s="5"/>
      <c r="J32" s="9"/>
      <c r="K32" s="9"/>
      <c r="L32" s="9"/>
    </row>
    <row r="33" spans="1:12" x14ac:dyDescent="0.25">
      <c r="A33" s="81"/>
      <c r="B33" s="1">
        <v>2015</v>
      </c>
      <c r="C33" s="62">
        <v>0.45</v>
      </c>
      <c r="D33" s="62">
        <v>0.34</v>
      </c>
      <c r="E33" s="61"/>
      <c r="F33" s="5"/>
      <c r="G33" s="5"/>
      <c r="J33" s="9"/>
      <c r="K33" s="9"/>
    </row>
    <row r="34" spans="1:12" x14ac:dyDescent="0.25">
      <c r="A34" s="81"/>
      <c r="B34" s="1">
        <v>2016</v>
      </c>
      <c r="C34" s="62">
        <v>0.43</v>
      </c>
      <c r="D34" s="62"/>
      <c r="E34" s="61"/>
      <c r="F34" s="5"/>
      <c r="G34" s="5"/>
      <c r="J34" s="9"/>
    </row>
    <row r="35" spans="1:12" x14ac:dyDescent="0.25">
      <c r="A35" s="47" t="s">
        <v>24</v>
      </c>
      <c r="B35" s="1"/>
      <c r="C35" s="62"/>
      <c r="D35" s="62"/>
      <c r="E35" s="61"/>
      <c r="F35" s="5"/>
      <c r="G35" s="5"/>
    </row>
    <row r="36" spans="1:12" x14ac:dyDescent="0.25">
      <c r="A36" s="81" t="s">
        <v>45</v>
      </c>
      <c r="B36" s="1">
        <v>2014</v>
      </c>
      <c r="C36" s="62">
        <v>0.65</v>
      </c>
      <c r="D36" s="62">
        <v>0.2</v>
      </c>
      <c r="E36" s="61">
        <v>0.02</v>
      </c>
      <c r="F36" s="5"/>
      <c r="G36" s="5"/>
      <c r="J36" s="9"/>
      <c r="K36" s="9"/>
      <c r="L36" s="9"/>
    </row>
    <row r="37" spans="1:12" x14ac:dyDescent="0.25">
      <c r="A37" s="81"/>
      <c r="B37" s="1">
        <v>2015</v>
      </c>
      <c r="C37" s="62">
        <v>0.67</v>
      </c>
      <c r="D37" s="62">
        <v>0.18</v>
      </c>
      <c r="E37" s="61"/>
      <c r="F37" s="5"/>
      <c r="G37" s="5"/>
      <c r="J37" s="9"/>
      <c r="K37" s="9"/>
    </row>
    <row r="38" spans="1:12" x14ac:dyDescent="0.25">
      <c r="A38" s="81"/>
      <c r="B38" s="1">
        <v>2016</v>
      </c>
      <c r="C38" s="62">
        <v>0.6</v>
      </c>
      <c r="D38" s="62"/>
      <c r="E38" s="61"/>
      <c r="F38" s="5"/>
      <c r="G38" s="5"/>
      <c r="J38" s="9"/>
    </row>
    <row r="39" spans="1:12" x14ac:dyDescent="0.25">
      <c r="A39" s="47" t="s">
        <v>24</v>
      </c>
      <c r="B39" s="1"/>
      <c r="C39" s="62"/>
      <c r="D39" s="62"/>
      <c r="E39" s="61"/>
      <c r="F39" s="5"/>
      <c r="G39" s="5"/>
    </row>
    <row r="40" spans="1:12" x14ac:dyDescent="0.25">
      <c r="A40" s="81" t="s">
        <v>46</v>
      </c>
      <c r="B40" s="1">
        <v>2014</v>
      </c>
      <c r="C40" s="62">
        <v>0.56999999999999995</v>
      </c>
      <c r="D40" s="62">
        <v>0.25</v>
      </c>
      <c r="E40" s="61">
        <v>0.05</v>
      </c>
      <c r="F40" s="5"/>
      <c r="G40" s="5"/>
      <c r="J40" s="9"/>
      <c r="K40" s="9"/>
      <c r="L40" s="9"/>
    </row>
    <row r="41" spans="1:12" x14ac:dyDescent="0.25">
      <c r="A41" s="81"/>
      <c r="B41" s="1">
        <v>2015</v>
      </c>
      <c r="C41" s="62">
        <v>0.56000000000000005</v>
      </c>
      <c r="D41" s="62">
        <v>0.26</v>
      </c>
      <c r="E41" s="61"/>
      <c r="F41" s="5"/>
      <c r="G41" s="5"/>
      <c r="J41" s="9"/>
      <c r="K41" s="9"/>
    </row>
    <row r="42" spans="1:12" x14ac:dyDescent="0.25">
      <c r="A42" s="81"/>
      <c r="B42" s="1">
        <v>2016</v>
      </c>
      <c r="C42" s="62">
        <v>0.56999999999999995</v>
      </c>
      <c r="D42" s="62"/>
      <c r="E42" s="61"/>
      <c r="F42" s="5"/>
      <c r="G42" s="5"/>
      <c r="J42" s="9"/>
    </row>
    <row r="43" spans="1:12" x14ac:dyDescent="0.25">
      <c r="A43" s="7"/>
      <c r="C43" s="9"/>
      <c r="D43" s="9"/>
      <c r="E43" s="9"/>
      <c r="F43" s="5"/>
      <c r="G43" s="5"/>
    </row>
    <row r="44" spans="1:12" x14ac:dyDescent="0.25">
      <c r="A44" s="7" t="s">
        <v>160</v>
      </c>
      <c r="C44" s="5"/>
      <c r="D44" s="5"/>
      <c r="E44" s="5"/>
      <c r="F44" s="5"/>
      <c r="G44" s="5"/>
    </row>
    <row r="45" spans="1:12" ht="30.75" customHeight="1" x14ac:dyDescent="0.25">
      <c r="A45" s="79" t="s">
        <v>161</v>
      </c>
      <c r="B45" s="79"/>
      <c r="C45" s="79"/>
      <c r="D45" s="79"/>
      <c r="E45" s="79"/>
      <c r="F45" s="5"/>
      <c r="G45" s="5"/>
    </row>
    <row r="46" spans="1:12" x14ac:dyDescent="0.25">
      <c r="A46" s="7"/>
      <c r="C46" s="5"/>
      <c r="D46" s="5"/>
      <c r="E46" s="5"/>
      <c r="F46" s="5"/>
      <c r="G46" s="5"/>
    </row>
    <row r="47" spans="1:12" x14ac:dyDescent="0.25">
      <c r="C47" s="5"/>
      <c r="D47" s="5"/>
      <c r="E47" s="5"/>
      <c r="F47" s="5"/>
      <c r="G47" s="5"/>
    </row>
    <row r="48" spans="1:12" x14ac:dyDescent="0.25">
      <c r="A48" s="7"/>
      <c r="C48" s="5"/>
      <c r="D48" s="5"/>
      <c r="E48" s="5"/>
      <c r="F48" s="5"/>
      <c r="G48" s="5"/>
    </row>
    <row r="49" spans="1:7" x14ac:dyDescent="0.25">
      <c r="A49" s="7"/>
      <c r="C49" s="5"/>
      <c r="D49" s="5"/>
      <c r="E49" s="5"/>
      <c r="F49" s="5"/>
      <c r="G49" s="5"/>
    </row>
    <row r="50" spans="1:7" x14ac:dyDescent="0.25">
      <c r="A50" s="7"/>
      <c r="C50" s="5"/>
      <c r="D50" s="5"/>
      <c r="E50" s="5"/>
      <c r="F50" s="5"/>
      <c r="G50" s="5"/>
    </row>
    <row r="51" spans="1:7" x14ac:dyDescent="0.25">
      <c r="A51" s="7"/>
      <c r="C51" s="5"/>
      <c r="D51" s="5"/>
      <c r="E51" s="5"/>
      <c r="F51" s="5"/>
      <c r="G51" s="5"/>
    </row>
    <row r="52" spans="1:7" x14ac:dyDescent="0.25">
      <c r="A52" s="7"/>
      <c r="C52" s="5"/>
      <c r="D52" s="5"/>
      <c r="E52" s="5"/>
      <c r="F52" s="5"/>
      <c r="G52" s="5"/>
    </row>
    <row r="53" spans="1:7" x14ac:dyDescent="0.25">
      <c r="A53" s="7"/>
      <c r="C53" s="5"/>
      <c r="D53" s="5"/>
      <c r="E53" s="5"/>
      <c r="F53" s="5"/>
      <c r="G53" s="5"/>
    </row>
    <row r="54" spans="1:7" x14ac:dyDescent="0.25">
      <c r="A54" s="7"/>
      <c r="C54" s="5"/>
      <c r="D54" s="5"/>
      <c r="E54" s="5"/>
      <c r="F54" s="5"/>
      <c r="G54" s="5"/>
    </row>
    <row r="55" spans="1:7" x14ac:dyDescent="0.25">
      <c r="A55" s="7"/>
      <c r="C55" s="5"/>
      <c r="D55" s="5"/>
      <c r="E55" s="5"/>
      <c r="F55" s="5"/>
      <c r="G55" s="5"/>
    </row>
    <row r="56" spans="1:7" x14ac:dyDescent="0.25">
      <c r="A56" s="7"/>
      <c r="C56" s="5"/>
      <c r="D56" s="5"/>
      <c r="E56" s="5"/>
      <c r="F56" s="5"/>
      <c r="G56" s="5"/>
    </row>
    <row r="57" spans="1:7" x14ac:dyDescent="0.25">
      <c r="A57" s="7"/>
      <c r="C57" s="5"/>
      <c r="D57" s="5"/>
      <c r="E57" s="5"/>
      <c r="F57" s="5"/>
      <c r="G57" s="5"/>
    </row>
    <row r="58" spans="1:7" x14ac:dyDescent="0.25">
      <c r="A58" s="7"/>
      <c r="C58" s="5"/>
      <c r="D58" s="5"/>
      <c r="E58" s="5"/>
      <c r="F58" s="5"/>
      <c r="G58" s="5"/>
    </row>
    <row r="59" spans="1:7" x14ac:dyDescent="0.25">
      <c r="A59" s="7"/>
      <c r="C59" s="5"/>
      <c r="D59" s="5"/>
      <c r="E59" s="5"/>
      <c r="F59" s="5"/>
      <c r="G59" s="5"/>
    </row>
    <row r="60" spans="1:7" x14ac:dyDescent="0.25">
      <c r="A60" s="7"/>
      <c r="C60" s="5"/>
      <c r="D60" s="5"/>
      <c r="E60" s="5"/>
      <c r="F60" s="5"/>
      <c r="G60" s="5"/>
    </row>
    <row r="61" spans="1:7" x14ac:dyDescent="0.25">
      <c r="A61" s="7"/>
      <c r="C61" s="5"/>
      <c r="D61" s="5"/>
      <c r="E61" s="5"/>
      <c r="F61" s="5"/>
      <c r="G61" s="5"/>
    </row>
    <row r="62" spans="1:7" x14ac:dyDescent="0.25">
      <c r="A62" s="7"/>
      <c r="C62" s="5"/>
      <c r="D62" s="5"/>
      <c r="E62" s="5"/>
      <c r="F62" s="5"/>
      <c r="G62" s="5"/>
    </row>
    <row r="63" spans="1:7" x14ac:dyDescent="0.25">
      <c r="A63" s="7"/>
      <c r="C63" s="5"/>
      <c r="D63" s="5"/>
      <c r="E63" s="5"/>
      <c r="F63" s="5"/>
      <c r="G63" s="5"/>
    </row>
    <row r="64" spans="1:7" x14ac:dyDescent="0.25">
      <c r="A64" s="7"/>
      <c r="C64" s="5"/>
      <c r="D64" s="5"/>
      <c r="E64" s="5"/>
      <c r="F64" s="5"/>
      <c r="G64" s="5"/>
    </row>
    <row r="65" spans="1:7" x14ac:dyDescent="0.25">
      <c r="A65" s="7"/>
      <c r="C65" s="5"/>
      <c r="D65" s="5"/>
      <c r="E65" s="5"/>
      <c r="F65" s="5"/>
      <c r="G65" s="5"/>
    </row>
    <row r="66" spans="1:7" x14ac:dyDescent="0.25">
      <c r="A66" s="7"/>
      <c r="C66" s="5"/>
      <c r="D66" s="5"/>
      <c r="E66" s="5"/>
      <c r="F66" s="5"/>
      <c r="G66" s="5"/>
    </row>
    <row r="67" spans="1:7" x14ac:dyDescent="0.25">
      <c r="A67" s="7"/>
      <c r="C67" s="5"/>
      <c r="D67" s="5"/>
      <c r="E67" s="5"/>
      <c r="F67" s="5"/>
      <c r="G67" s="5"/>
    </row>
    <row r="68" spans="1:7" x14ac:dyDescent="0.25">
      <c r="A68" s="7"/>
      <c r="C68" s="5"/>
      <c r="D68" s="5"/>
      <c r="E68" s="5"/>
      <c r="F68" s="5"/>
      <c r="G68" s="5"/>
    </row>
    <row r="69" spans="1:7" x14ac:dyDescent="0.25">
      <c r="C69" s="5"/>
      <c r="D69" s="5"/>
      <c r="E69" s="5"/>
      <c r="F69" s="5"/>
      <c r="G69" s="5"/>
    </row>
    <row r="70" spans="1:7" x14ac:dyDescent="0.25">
      <c r="A70" s="7"/>
      <c r="C70" s="5"/>
      <c r="D70" s="5"/>
      <c r="E70" s="5"/>
      <c r="F70" s="5"/>
      <c r="G70" s="5"/>
    </row>
    <row r="71" spans="1:7" x14ac:dyDescent="0.25">
      <c r="A71" s="7"/>
      <c r="C71" s="5"/>
      <c r="D71" s="5"/>
      <c r="E71" s="5"/>
      <c r="F71" s="5"/>
      <c r="G71" s="5"/>
    </row>
    <row r="72" spans="1:7" x14ac:dyDescent="0.25">
      <c r="A72" s="7"/>
      <c r="C72" s="5"/>
      <c r="D72" s="5"/>
      <c r="E72" s="5"/>
      <c r="F72" s="5"/>
      <c r="G72" s="5"/>
    </row>
    <row r="73" spans="1:7" x14ac:dyDescent="0.25">
      <c r="A73" s="7"/>
      <c r="C73" s="5"/>
      <c r="D73" s="5"/>
      <c r="E73" s="5"/>
      <c r="F73" s="5"/>
      <c r="G73" s="5"/>
    </row>
    <row r="74" spans="1:7" x14ac:dyDescent="0.25">
      <c r="A74" s="7"/>
      <c r="C74" s="5"/>
      <c r="D74" s="5"/>
      <c r="E74" s="5"/>
      <c r="F74" s="5"/>
      <c r="G74" s="5"/>
    </row>
    <row r="75" spans="1:7" x14ac:dyDescent="0.25">
      <c r="A75" s="7"/>
      <c r="C75" s="5"/>
      <c r="D75" s="5"/>
      <c r="E75" s="5"/>
      <c r="F75" s="5"/>
      <c r="G75" s="5"/>
    </row>
    <row r="76" spans="1:7" x14ac:dyDescent="0.25">
      <c r="A76" s="7"/>
      <c r="C76" s="5"/>
      <c r="D76" s="5"/>
      <c r="E76" s="5"/>
      <c r="F76" s="5"/>
      <c r="G76" s="5"/>
    </row>
    <row r="77" spans="1:7" x14ac:dyDescent="0.25">
      <c r="A77" s="7"/>
      <c r="C77" s="5"/>
      <c r="D77" s="5"/>
      <c r="E77" s="5"/>
      <c r="F77" s="5"/>
      <c r="G77" s="5"/>
    </row>
    <row r="78" spans="1:7" x14ac:dyDescent="0.25">
      <c r="A78" s="7"/>
      <c r="C78" s="5"/>
      <c r="D78" s="5"/>
      <c r="E78" s="5"/>
      <c r="F78" s="5"/>
      <c r="G78" s="5"/>
    </row>
    <row r="79" spans="1:7" x14ac:dyDescent="0.25">
      <c r="A79" s="7"/>
      <c r="C79" s="5"/>
      <c r="D79" s="5"/>
      <c r="E79" s="5"/>
      <c r="F79" s="5"/>
      <c r="G79" s="5"/>
    </row>
    <row r="80" spans="1:7" x14ac:dyDescent="0.25">
      <c r="A80" s="7"/>
      <c r="C80" s="5"/>
      <c r="D80" s="5"/>
      <c r="E80" s="5"/>
      <c r="F80" s="5"/>
      <c r="G80" s="5"/>
    </row>
    <row r="81" spans="1:7" x14ac:dyDescent="0.25">
      <c r="A81" s="7"/>
      <c r="C81" s="5"/>
      <c r="D81" s="5"/>
      <c r="E81" s="5"/>
      <c r="F81" s="5"/>
      <c r="G81" s="5"/>
    </row>
    <row r="82" spans="1:7" x14ac:dyDescent="0.25">
      <c r="A82" s="7"/>
      <c r="C82" s="5"/>
      <c r="D82" s="5"/>
      <c r="E82" s="5"/>
      <c r="F82" s="5"/>
      <c r="G82" s="5"/>
    </row>
    <row r="83" spans="1:7" x14ac:dyDescent="0.25">
      <c r="A83" s="7"/>
      <c r="C83" s="5"/>
      <c r="D83" s="5"/>
      <c r="E83" s="5"/>
      <c r="F83" s="5"/>
      <c r="G83" s="5"/>
    </row>
    <row r="84" spans="1:7" x14ac:dyDescent="0.25">
      <c r="A84" s="7"/>
      <c r="C84" s="5"/>
      <c r="D84" s="5"/>
      <c r="E84" s="5"/>
      <c r="F84" s="5"/>
      <c r="G84" s="5"/>
    </row>
    <row r="85" spans="1:7" x14ac:dyDescent="0.25">
      <c r="A85" s="7"/>
      <c r="C85" s="5"/>
      <c r="D85" s="5"/>
      <c r="E85" s="5"/>
      <c r="F85" s="5"/>
      <c r="G85" s="5"/>
    </row>
    <row r="86" spans="1:7" x14ac:dyDescent="0.25">
      <c r="A86" s="7"/>
      <c r="C86" s="5"/>
      <c r="D86" s="5"/>
      <c r="E86" s="5"/>
      <c r="F86" s="5"/>
      <c r="G86" s="5"/>
    </row>
    <row r="87" spans="1:7" x14ac:dyDescent="0.25">
      <c r="A87" s="7"/>
      <c r="C87" s="5"/>
      <c r="D87" s="5"/>
      <c r="E87" s="5"/>
      <c r="F87" s="5"/>
      <c r="G87" s="5"/>
    </row>
    <row r="88" spans="1:7" x14ac:dyDescent="0.25">
      <c r="A88" s="7"/>
      <c r="C88" s="5"/>
      <c r="D88" s="5"/>
      <c r="E88" s="5"/>
      <c r="F88" s="5"/>
      <c r="G88" s="5"/>
    </row>
    <row r="89" spans="1:7" x14ac:dyDescent="0.25">
      <c r="A89" s="7"/>
      <c r="C89" s="5"/>
      <c r="D89" s="5"/>
      <c r="E89" s="5"/>
      <c r="F89" s="5"/>
      <c r="G89" s="5"/>
    </row>
    <row r="90" spans="1:7" x14ac:dyDescent="0.25">
      <c r="A90" s="7"/>
    </row>
    <row r="91" spans="1:7" x14ac:dyDescent="0.25">
      <c r="A91" s="77"/>
      <c r="B91" s="77"/>
      <c r="C91" s="77"/>
      <c r="D91" s="77"/>
      <c r="E91" s="77"/>
      <c r="F91" s="77"/>
      <c r="G91" s="77"/>
    </row>
    <row r="92" spans="1:7" x14ac:dyDescent="0.25">
      <c r="A92" s="77"/>
      <c r="B92" s="77"/>
      <c r="C92" s="77"/>
      <c r="D92" s="77"/>
      <c r="E92" s="77"/>
      <c r="F92" s="77"/>
      <c r="G92" s="77"/>
    </row>
    <row r="93" spans="1:7" x14ac:dyDescent="0.25">
      <c r="A93" s="78"/>
      <c r="B93" s="78"/>
      <c r="C93" s="78"/>
      <c r="D93" s="78"/>
      <c r="E93" s="78"/>
      <c r="F93" s="78"/>
      <c r="G93" s="78"/>
    </row>
    <row r="94" spans="1:7" x14ac:dyDescent="0.25">
      <c r="A94" s="78"/>
      <c r="B94" s="78"/>
      <c r="C94" s="78"/>
      <c r="D94" s="78"/>
      <c r="E94" s="78"/>
      <c r="F94" s="78"/>
      <c r="G94" s="78"/>
    </row>
    <row r="95" spans="1:7" x14ac:dyDescent="0.25">
      <c r="A95" s="78"/>
      <c r="B95" s="78"/>
      <c r="C95" s="78"/>
      <c r="D95" s="78"/>
      <c r="E95" s="78"/>
      <c r="F95" s="78"/>
      <c r="G95" s="78"/>
    </row>
    <row r="96" spans="1:7" x14ac:dyDescent="0.25">
      <c r="A96" s="78"/>
      <c r="B96" s="78"/>
      <c r="C96" s="78"/>
      <c r="D96" s="78"/>
      <c r="E96" s="78"/>
      <c r="F96" s="78"/>
      <c r="G96" s="78"/>
    </row>
    <row r="97" spans="1:7" x14ac:dyDescent="0.25">
      <c r="A97" s="78"/>
      <c r="B97" s="78"/>
      <c r="C97" s="78"/>
      <c r="D97" s="78"/>
      <c r="E97" s="78"/>
      <c r="F97" s="78"/>
      <c r="G97" s="78"/>
    </row>
    <row r="98" spans="1:7" x14ac:dyDescent="0.25">
      <c r="A98" s="78"/>
      <c r="B98" s="78"/>
      <c r="C98" s="78"/>
      <c r="D98" s="78"/>
      <c r="E98" s="78"/>
      <c r="F98" s="78"/>
      <c r="G98" s="78"/>
    </row>
    <row r="99" spans="1:7" x14ac:dyDescent="0.25">
      <c r="A99" s="78"/>
      <c r="B99" s="78"/>
      <c r="C99" s="78"/>
      <c r="D99" s="78"/>
      <c r="E99" s="78"/>
      <c r="F99" s="78"/>
      <c r="G99" s="78"/>
    </row>
    <row r="100" spans="1:7" x14ac:dyDescent="0.25">
      <c r="A100" s="78"/>
      <c r="B100" s="78"/>
      <c r="C100" s="78"/>
      <c r="D100" s="78"/>
      <c r="E100" s="78"/>
      <c r="F100" s="78"/>
      <c r="G100" s="78"/>
    </row>
    <row r="101" spans="1:7" x14ac:dyDescent="0.25">
      <c r="A101" s="78"/>
      <c r="B101" s="78"/>
      <c r="C101" s="78"/>
      <c r="D101" s="78"/>
      <c r="E101" s="78"/>
      <c r="F101" s="78"/>
      <c r="G101" s="78"/>
    </row>
    <row r="102" spans="1:7" x14ac:dyDescent="0.25">
      <c r="A102" s="78"/>
      <c r="B102" s="78"/>
      <c r="C102" s="78"/>
      <c r="D102" s="78"/>
      <c r="E102" s="78"/>
      <c r="F102" s="78"/>
      <c r="G102" s="78"/>
    </row>
  </sheetData>
  <mergeCells count="13">
    <mergeCell ref="A91:G92"/>
    <mergeCell ref="A93:G102"/>
    <mergeCell ref="A45:E45"/>
    <mergeCell ref="A4:A6"/>
    <mergeCell ref="A8:A10"/>
    <mergeCell ref="A12:A14"/>
    <mergeCell ref="A16:A18"/>
    <mergeCell ref="A20:A22"/>
    <mergeCell ref="A24:A26"/>
    <mergeCell ref="A28:A30"/>
    <mergeCell ref="A32:A34"/>
    <mergeCell ref="A36:A38"/>
    <mergeCell ref="A40:A4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heetViews>
  <sheetFormatPr defaultColWidth="9.140625" defaultRowHeight="15" x14ac:dyDescent="0.25"/>
  <cols>
    <col min="1" max="1" width="21.7109375" style="10" customWidth="1"/>
    <col min="2" max="2" width="20.5703125" style="4" bestFit="1" customWidth="1"/>
    <col min="3" max="3" width="17" style="4" customWidth="1"/>
    <col min="4" max="5" width="14.5703125" style="8" customWidth="1"/>
    <col min="6" max="6" width="23.140625" style="4" bestFit="1" customWidth="1"/>
    <col min="7" max="7" width="25.5703125" style="4" bestFit="1" customWidth="1"/>
    <col min="8" max="16384" width="9.140625" style="4"/>
  </cols>
  <sheetData>
    <row r="1" spans="1:7" x14ac:dyDescent="0.25">
      <c r="A1" s="6" t="s">
        <v>5</v>
      </c>
    </row>
    <row r="2" spans="1:7" x14ac:dyDescent="0.25">
      <c r="A2" s="7"/>
      <c r="B2" s="3"/>
      <c r="C2" s="3"/>
      <c r="D2" s="12"/>
      <c r="E2" s="12"/>
      <c r="F2" s="3"/>
      <c r="G2" s="3"/>
    </row>
    <row r="3" spans="1:7" ht="14.45" customHeight="1" x14ac:dyDescent="0.25">
      <c r="A3" s="48" t="s">
        <v>52</v>
      </c>
      <c r="B3" s="48" t="s">
        <v>53</v>
      </c>
      <c r="C3" s="48" t="s">
        <v>54</v>
      </c>
      <c r="D3" s="13" t="s">
        <v>55</v>
      </c>
      <c r="E3" s="13" t="s">
        <v>56</v>
      </c>
      <c r="F3" s="5"/>
      <c r="G3" s="5"/>
    </row>
    <row r="4" spans="1:7" x14ac:dyDescent="0.25">
      <c r="A4" s="48"/>
      <c r="B4" s="48"/>
      <c r="C4" s="48"/>
      <c r="D4" s="13"/>
      <c r="E4" s="13"/>
      <c r="F4" s="5"/>
      <c r="G4" s="5"/>
    </row>
    <row r="5" spans="1:7" x14ac:dyDescent="0.25">
      <c r="A5" s="75" t="s">
        <v>57</v>
      </c>
      <c r="B5" s="75"/>
      <c r="C5" s="75"/>
      <c r="D5" s="75"/>
      <c r="E5" s="75"/>
      <c r="F5" s="5"/>
      <c r="G5" s="5"/>
    </row>
    <row r="6" spans="1:7" x14ac:dyDescent="0.25">
      <c r="A6" s="1" t="s">
        <v>58</v>
      </c>
      <c r="B6" s="63">
        <v>2012</v>
      </c>
      <c r="C6" s="64">
        <v>0.5</v>
      </c>
      <c r="D6" s="64">
        <v>0.2</v>
      </c>
      <c r="E6" s="64">
        <v>0.04</v>
      </c>
      <c r="F6" s="5"/>
      <c r="G6" s="5"/>
    </row>
    <row r="7" spans="1:7" x14ac:dyDescent="0.25">
      <c r="A7" s="1"/>
      <c r="B7" s="63">
        <v>2013</v>
      </c>
      <c r="C7" s="64">
        <v>0.51</v>
      </c>
      <c r="D7" s="64">
        <v>0.22</v>
      </c>
      <c r="E7" s="63"/>
      <c r="F7" s="5"/>
      <c r="G7" s="5"/>
    </row>
    <row r="8" spans="1:7" x14ac:dyDescent="0.25">
      <c r="A8" s="1"/>
      <c r="B8" s="63">
        <v>2014</v>
      </c>
      <c r="C8" s="64">
        <v>0.56999999999999995</v>
      </c>
      <c r="D8" s="63"/>
      <c r="E8" s="63"/>
      <c r="F8" s="5"/>
      <c r="G8" s="5"/>
    </row>
    <row r="9" spans="1:7" x14ac:dyDescent="0.25">
      <c r="A9" s="1" t="s">
        <v>24</v>
      </c>
      <c r="B9" s="63"/>
      <c r="C9" s="63"/>
      <c r="D9" s="63"/>
      <c r="E9" s="63"/>
      <c r="F9" s="5"/>
      <c r="G9" s="5"/>
    </row>
    <row r="10" spans="1:7" x14ac:dyDescent="0.25">
      <c r="A10" s="1" t="s">
        <v>59</v>
      </c>
      <c r="B10" s="63">
        <v>2012</v>
      </c>
      <c r="C10" s="64">
        <v>0.59</v>
      </c>
      <c r="D10" s="64">
        <v>0.15</v>
      </c>
      <c r="E10" s="64">
        <v>0.01</v>
      </c>
      <c r="F10" s="5"/>
      <c r="G10" s="5"/>
    </row>
    <row r="11" spans="1:7" x14ac:dyDescent="0.25">
      <c r="A11" s="1"/>
      <c r="B11" s="63">
        <v>2013</v>
      </c>
      <c r="C11" s="64">
        <v>0.59</v>
      </c>
      <c r="D11" s="64">
        <v>0.16</v>
      </c>
      <c r="E11" s="63"/>
      <c r="F11" s="5"/>
      <c r="G11" s="5"/>
    </row>
    <row r="12" spans="1:7" x14ac:dyDescent="0.25">
      <c r="A12" s="1"/>
      <c r="B12" s="63">
        <v>2014</v>
      </c>
      <c r="C12" s="64">
        <v>0.61</v>
      </c>
      <c r="D12" s="63"/>
      <c r="E12" s="63"/>
      <c r="F12" s="5"/>
      <c r="G12" s="5"/>
    </row>
    <row r="13" spans="1:7" x14ac:dyDescent="0.25">
      <c r="A13" s="1" t="s">
        <v>24</v>
      </c>
      <c r="B13" s="63"/>
      <c r="C13" s="63"/>
      <c r="D13" s="63"/>
      <c r="E13" s="63"/>
      <c r="F13" s="5"/>
      <c r="G13" s="5"/>
    </row>
    <row r="14" spans="1:7" ht="30" x14ac:dyDescent="0.25">
      <c r="A14" s="28" t="s">
        <v>60</v>
      </c>
      <c r="B14" s="63">
        <v>2012</v>
      </c>
      <c r="C14" s="64">
        <v>0.52</v>
      </c>
      <c r="D14" s="64">
        <v>0.21</v>
      </c>
      <c r="E14" s="64">
        <v>0.04</v>
      </c>
      <c r="F14" s="5"/>
      <c r="G14" s="5"/>
    </row>
    <row r="15" spans="1:7" x14ac:dyDescent="0.25">
      <c r="A15" s="1"/>
      <c r="B15" s="63">
        <v>2013</v>
      </c>
      <c r="C15" s="64">
        <v>0.55000000000000004</v>
      </c>
      <c r="D15" s="64">
        <v>0.2</v>
      </c>
      <c r="E15" s="63"/>
      <c r="F15" s="5"/>
      <c r="G15" s="5"/>
    </row>
    <row r="16" spans="1:7" x14ac:dyDescent="0.25">
      <c r="A16" s="1"/>
      <c r="B16" s="63">
        <v>2014</v>
      </c>
      <c r="C16" s="64">
        <v>0.55000000000000004</v>
      </c>
      <c r="D16" s="63"/>
      <c r="E16" s="63"/>
      <c r="F16" s="5"/>
      <c r="G16" s="5"/>
    </row>
    <row r="17" spans="1:12" x14ac:dyDescent="0.25">
      <c r="A17" s="1" t="s">
        <v>24</v>
      </c>
      <c r="B17" s="63"/>
      <c r="C17" s="63"/>
      <c r="D17" s="63"/>
      <c r="E17" s="63"/>
      <c r="F17" s="5"/>
      <c r="G17" s="5"/>
    </row>
    <row r="18" spans="1:12" ht="30" x14ac:dyDescent="0.25">
      <c r="A18" s="28" t="s">
        <v>61</v>
      </c>
      <c r="B18" s="63">
        <v>2012</v>
      </c>
      <c r="C18" s="64">
        <v>0.7</v>
      </c>
      <c r="D18" s="64">
        <v>0.17</v>
      </c>
      <c r="E18" s="64">
        <v>0.02</v>
      </c>
      <c r="F18" s="5"/>
      <c r="G18" s="5"/>
    </row>
    <row r="19" spans="1:12" x14ac:dyDescent="0.25">
      <c r="A19" s="1"/>
      <c r="B19" s="63">
        <v>2013</v>
      </c>
      <c r="C19" s="64">
        <v>0.72</v>
      </c>
      <c r="D19" s="64">
        <v>0.15</v>
      </c>
      <c r="E19" s="63"/>
      <c r="F19" s="5"/>
      <c r="G19" s="5"/>
    </row>
    <row r="20" spans="1:12" x14ac:dyDescent="0.25">
      <c r="A20" s="1"/>
      <c r="B20" s="63">
        <v>2014</v>
      </c>
      <c r="C20" s="64">
        <v>0.74</v>
      </c>
      <c r="D20" s="63"/>
      <c r="E20" s="63"/>
      <c r="F20" s="5"/>
      <c r="G20" s="5"/>
    </row>
    <row r="21" spans="1:12" x14ac:dyDescent="0.25">
      <c r="A21" s="1" t="s">
        <v>24</v>
      </c>
      <c r="B21" s="63"/>
      <c r="C21" s="63"/>
      <c r="D21" s="63"/>
      <c r="E21" s="63"/>
      <c r="F21" s="5"/>
      <c r="G21" s="5"/>
    </row>
    <row r="22" spans="1:12" x14ac:dyDescent="0.25">
      <c r="A22" s="1" t="s">
        <v>62</v>
      </c>
      <c r="B22" s="63">
        <v>2012</v>
      </c>
      <c r="C22" s="64">
        <v>0.68</v>
      </c>
      <c r="D22" s="64">
        <v>0.15</v>
      </c>
      <c r="E22" s="64">
        <v>0.02</v>
      </c>
      <c r="F22" s="5"/>
      <c r="G22" s="5"/>
    </row>
    <row r="23" spans="1:12" x14ac:dyDescent="0.25">
      <c r="A23" s="1"/>
      <c r="B23" s="63">
        <v>2013</v>
      </c>
      <c r="C23" s="64">
        <v>0.71</v>
      </c>
      <c r="D23" s="64">
        <v>0.14000000000000001</v>
      </c>
      <c r="E23" s="63"/>
      <c r="F23" s="5"/>
      <c r="G23" s="5"/>
    </row>
    <row r="24" spans="1:12" x14ac:dyDescent="0.25">
      <c r="A24" s="1"/>
      <c r="B24" s="63">
        <v>2014</v>
      </c>
      <c r="C24" s="64">
        <v>0.73</v>
      </c>
      <c r="D24" s="63"/>
      <c r="E24" s="63"/>
      <c r="F24" s="5"/>
      <c r="G24" s="5"/>
    </row>
    <row r="25" spans="1:12" x14ac:dyDescent="0.25">
      <c r="A25" s="84" t="s">
        <v>163</v>
      </c>
      <c r="B25" s="84"/>
      <c r="C25" s="84"/>
      <c r="D25" s="84"/>
      <c r="E25" s="32"/>
      <c r="F25" s="32"/>
      <c r="G25" s="5"/>
    </row>
    <row r="26" spans="1:12" x14ac:dyDescent="0.25">
      <c r="A26" s="30" t="s">
        <v>63</v>
      </c>
      <c r="B26" s="31" t="s">
        <v>52</v>
      </c>
      <c r="C26" s="85" t="s">
        <v>64</v>
      </c>
      <c r="D26" s="85"/>
      <c r="E26" s="85"/>
      <c r="F26" s="5"/>
      <c r="G26" s="5"/>
      <c r="H26" s="63"/>
      <c r="I26" s="63"/>
      <c r="J26" s="63"/>
      <c r="K26" s="63"/>
      <c r="L26" s="63"/>
    </row>
    <row r="27" spans="1:12" ht="15" customHeight="1" x14ac:dyDescent="0.25">
      <c r="A27" s="63"/>
      <c r="B27" s="63"/>
      <c r="C27" s="63" t="s">
        <v>54</v>
      </c>
      <c r="D27" s="63" t="s">
        <v>55</v>
      </c>
      <c r="E27" s="63" t="s">
        <v>56</v>
      </c>
      <c r="F27" s="5"/>
      <c r="G27" s="5"/>
      <c r="H27" s="63"/>
      <c r="I27" s="63"/>
      <c r="J27" s="64"/>
      <c r="K27" s="64"/>
      <c r="L27" s="64"/>
    </row>
    <row r="28" spans="1:12" ht="15" customHeight="1" x14ac:dyDescent="0.25">
      <c r="A28" s="63" t="s">
        <v>23</v>
      </c>
      <c r="B28" s="63" t="str">
        <f>"Afr Amer"</f>
        <v>Afr Amer</v>
      </c>
      <c r="C28" s="64">
        <v>0.48</v>
      </c>
      <c r="D28" s="64">
        <v>0.23</v>
      </c>
      <c r="E28" s="64">
        <v>0.04</v>
      </c>
      <c r="F28" s="22"/>
      <c r="G28" s="22"/>
      <c r="H28" s="63"/>
      <c r="I28" s="63"/>
      <c r="J28" s="64"/>
      <c r="K28" s="64"/>
      <c r="L28" s="64"/>
    </row>
    <row r="29" spans="1:12" ht="15" customHeight="1" x14ac:dyDescent="0.25">
      <c r="A29" s="63"/>
      <c r="B29" s="63" t="s">
        <v>164</v>
      </c>
      <c r="C29" s="64">
        <v>0.52</v>
      </c>
      <c r="D29" s="64">
        <v>0.27</v>
      </c>
      <c r="E29" s="64">
        <v>0.02</v>
      </c>
      <c r="F29" s="22"/>
      <c r="G29" s="22"/>
      <c r="H29" s="63"/>
      <c r="I29" s="63"/>
      <c r="J29" s="64"/>
      <c r="K29" s="64"/>
      <c r="L29" s="64"/>
    </row>
    <row r="30" spans="1:12" ht="15" customHeight="1" x14ac:dyDescent="0.25">
      <c r="A30" s="63"/>
      <c r="B30" s="63" t="str">
        <f>"Hisp/ Lat"</f>
        <v>Hisp/ Lat</v>
      </c>
      <c r="C30" s="64">
        <v>0.5</v>
      </c>
      <c r="D30" s="64">
        <v>0.23</v>
      </c>
      <c r="E30" s="64">
        <v>0.03</v>
      </c>
      <c r="F30" s="22"/>
      <c r="G30" s="22"/>
      <c r="H30" s="63"/>
      <c r="I30" s="63"/>
      <c r="J30" s="64"/>
      <c r="K30" s="64"/>
      <c r="L30" s="64"/>
    </row>
    <row r="31" spans="1:12" ht="15" customHeight="1" x14ac:dyDescent="0.25">
      <c r="A31" s="63"/>
      <c r="B31" s="63" t="str">
        <f>"Asian/ Pac Isl"</f>
        <v>Asian/ Pac Isl</v>
      </c>
      <c r="C31" s="64">
        <v>0.69</v>
      </c>
      <c r="D31" s="64">
        <v>0.17</v>
      </c>
      <c r="E31" s="64">
        <v>0.02</v>
      </c>
      <c r="F31" s="22"/>
      <c r="G31" s="22"/>
      <c r="H31" s="63"/>
      <c r="I31" s="63"/>
      <c r="J31" s="64"/>
      <c r="K31" s="64"/>
      <c r="L31" s="64"/>
    </row>
    <row r="32" spans="1:12" ht="15" customHeight="1" x14ac:dyDescent="0.25">
      <c r="A32" s="63"/>
      <c r="B32" s="63" t="s">
        <v>62</v>
      </c>
      <c r="C32" s="64">
        <v>0.69</v>
      </c>
      <c r="D32" s="64">
        <v>0.15</v>
      </c>
      <c r="E32" s="64">
        <v>0.02</v>
      </c>
      <c r="F32" s="22"/>
      <c r="G32" s="22"/>
      <c r="H32" s="63"/>
      <c r="I32" s="63"/>
      <c r="J32" s="63"/>
      <c r="K32" s="63"/>
      <c r="L32" s="63"/>
    </row>
    <row r="33" spans="1:12" ht="15" customHeight="1" x14ac:dyDescent="0.25">
      <c r="A33" s="63"/>
      <c r="B33" s="63"/>
      <c r="C33" s="63"/>
      <c r="D33" s="63"/>
      <c r="E33" s="63"/>
      <c r="F33" s="22"/>
      <c r="G33" s="22"/>
      <c r="H33" s="63"/>
      <c r="I33" s="63"/>
      <c r="J33" s="64"/>
      <c r="K33" s="64"/>
      <c r="L33" s="64"/>
    </row>
    <row r="34" spans="1:12" ht="15" customHeight="1" x14ac:dyDescent="0.25">
      <c r="A34" s="63" t="s">
        <v>165</v>
      </c>
      <c r="B34" s="63" t="str">
        <f>"Afr Amer"</f>
        <v>Afr Amer</v>
      </c>
      <c r="C34" s="64">
        <v>0.45</v>
      </c>
      <c r="D34" s="64">
        <v>0.2</v>
      </c>
      <c r="E34" s="64">
        <v>0.05</v>
      </c>
      <c r="F34" s="22"/>
      <c r="G34" s="22"/>
      <c r="H34" s="63"/>
      <c r="I34" s="63"/>
      <c r="J34" s="64"/>
      <c r="K34" s="64"/>
      <c r="L34" s="64"/>
    </row>
    <row r="35" spans="1:12" ht="15" customHeight="1" x14ac:dyDescent="0.25">
      <c r="A35" s="63"/>
      <c r="B35" s="63" t="s">
        <v>164</v>
      </c>
      <c r="C35" s="64">
        <v>0.42</v>
      </c>
      <c r="D35" s="64">
        <v>0.18</v>
      </c>
      <c r="E35" s="64">
        <v>0.03</v>
      </c>
      <c r="F35" s="22"/>
      <c r="G35" s="22"/>
      <c r="H35" s="63"/>
      <c r="I35" s="63"/>
      <c r="J35" s="64"/>
      <c r="K35" s="64"/>
      <c r="L35" s="64"/>
    </row>
    <row r="36" spans="1:12" ht="15" customHeight="1" x14ac:dyDescent="0.25">
      <c r="A36" s="63"/>
      <c r="B36" s="63" t="str">
        <f>"Hisp/ Lat"</f>
        <v>Hisp/ Lat</v>
      </c>
      <c r="C36" s="64">
        <v>0.49</v>
      </c>
      <c r="D36" s="64">
        <v>0.21</v>
      </c>
      <c r="E36" s="64">
        <v>0.04</v>
      </c>
      <c r="F36" s="22"/>
      <c r="G36" s="22"/>
      <c r="H36" s="63"/>
      <c r="I36" s="63"/>
      <c r="J36" s="64"/>
      <c r="K36" s="64"/>
      <c r="L36" s="64"/>
    </row>
    <row r="37" spans="1:12" ht="15" customHeight="1" x14ac:dyDescent="0.25">
      <c r="A37" s="63"/>
      <c r="B37" s="63" t="str">
        <f>"Asian/ Pac Isl"</f>
        <v>Asian/ Pac Isl</v>
      </c>
      <c r="C37" s="64">
        <v>0.61</v>
      </c>
      <c r="D37" s="64">
        <v>0.19</v>
      </c>
      <c r="E37" s="64">
        <v>0.03</v>
      </c>
      <c r="F37" s="22"/>
      <c r="G37" s="22"/>
      <c r="H37" s="63"/>
      <c r="I37" s="63"/>
      <c r="J37" s="64"/>
      <c r="K37" s="64"/>
      <c r="L37" s="64"/>
    </row>
    <row r="38" spans="1:12" ht="15" customHeight="1" x14ac:dyDescent="0.25">
      <c r="A38" s="63"/>
      <c r="B38" s="63" t="s">
        <v>62</v>
      </c>
      <c r="C38" s="64">
        <v>0.61</v>
      </c>
      <c r="D38" s="64">
        <v>0.18</v>
      </c>
      <c r="E38" s="64">
        <v>0.02</v>
      </c>
      <c r="F38" s="22"/>
      <c r="G38" s="22"/>
      <c r="H38" s="63"/>
      <c r="I38" s="63"/>
      <c r="J38" s="63"/>
      <c r="K38" s="63"/>
      <c r="L38" s="63"/>
    </row>
    <row r="39" spans="1:12" ht="15" customHeight="1" x14ac:dyDescent="0.25">
      <c r="A39" s="63"/>
      <c r="B39" s="63"/>
      <c r="C39" s="63"/>
      <c r="D39" s="63"/>
      <c r="E39" s="63"/>
      <c r="F39" s="22"/>
      <c r="G39" s="22"/>
      <c r="H39" s="63"/>
      <c r="I39" s="63"/>
      <c r="J39" s="64"/>
      <c r="K39" s="64"/>
      <c r="L39" s="64"/>
    </row>
    <row r="40" spans="1:12" ht="15" customHeight="1" x14ac:dyDescent="0.25">
      <c r="A40" s="63" t="s">
        <v>166</v>
      </c>
      <c r="B40" s="63" t="str">
        <f>"Afr Amer"</f>
        <v>Afr Amer</v>
      </c>
      <c r="C40" s="64">
        <v>0.75</v>
      </c>
      <c r="D40" s="64">
        <v>0.09</v>
      </c>
      <c r="E40" s="64">
        <v>0.02</v>
      </c>
      <c r="F40" s="22"/>
      <c r="G40" s="22"/>
      <c r="H40" s="63"/>
      <c r="I40" s="63"/>
      <c r="J40" s="64"/>
      <c r="K40" s="64"/>
      <c r="L40" s="64"/>
    </row>
    <row r="41" spans="1:12" ht="15" customHeight="1" x14ac:dyDescent="0.25">
      <c r="A41" s="63"/>
      <c r="B41" s="63" t="s">
        <v>164</v>
      </c>
      <c r="C41" s="64">
        <v>0.57999999999999996</v>
      </c>
      <c r="D41" s="64">
        <v>0.16</v>
      </c>
      <c r="E41" s="64">
        <v>0.03</v>
      </c>
      <c r="F41" s="22"/>
      <c r="G41" s="22"/>
      <c r="H41" s="63"/>
      <c r="I41" s="63"/>
      <c r="J41" s="64"/>
      <c r="K41" s="64"/>
      <c r="L41" s="64"/>
    </row>
    <row r="42" spans="1:12" ht="15" customHeight="1" x14ac:dyDescent="0.25">
      <c r="A42" s="63"/>
      <c r="B42" s="63" t="str">
        <f>"Hisp/ Lat"</f>
        <v>Hisp/ Lat</v>
      </c>
      <c r="C42" s="64">
        <v>0.78</v>
      </c>
      <c r="D42" s="64">
        <v>0.08</v>
      </c>
      <c r="E42" s="64">
        <v>0.02</v>
      </c>
      <c r="F42" s="22"/>
      <c r="G42" s="22"/>
      <c r="H42" s="63"/>
      <c r="I42" s="63"/>
      <c r="J42" s="64"/>
      <c r="K42" s="64"/>
      <c r="L42" s="64"/>
    </row>
    <row r="43" spans="1:12" ht="15" customHeight="1" x14ac:dyDescent="0.25">
      <c r="A43" s="63"/>
      <c r="B43" s="63" t="str">
        <f>"Asian/ Pac Isl"</f>
        <v>Asian/ Pac Isl</v>
      </c>
      <c r="C43" s="64">
        <v>0.83</v>
      </c>
      <c r="D43" s="64">
        <v>7.0000000000000007E-2</v>
      </c>
      <c r="E43" s="64">
        <v>0.01</v>
      </c>
      <c r="F43" s="5"/>
      <c r="G43" s="5"/>
      <c r="H43" s="63"/>
      <c r="I43" s="63"/>
      <c r="J43" s="64"/>
      <c r="K43" s="64"/>
      <c r="L43" s="64"/>
    </row>
    <row r="44" spans="1:12" ht="15" customHeight="1" x14ac:dyDescent="0.25">
      <c r="A44" s="63"/>
      <c r="B44" s="63" t="s">
        <v>62</v>
      </c>
      <c r="C44" s="64">
        <v>0.83</v>
      </c>
      <c r="D44" s="64">
        <v>0.06</v>
      </c>
      <c r="E44" s="64">
        <v>0.01</v>
      </c>
      <c r="F44" s="5"/>
      <c r="G44" s="5"/>
    </row>
    <row r="45" spans="1:12" x14ac:dyDescent="0.25">
      <c r="A45" s="1"/>
      <c r="B45" s="28"/>
      <c r="C45" s="29"/>
      <c r="D45" s="22"/>
      <c r="F45" s="5"/>
      <c r="G45" s="5"/>
    </row>
    <row r="46" spans="1:12" x14ac:dyDescent="0.25">
      <c r="A46" s="7"/>
      <c r="C46" s="5"/>
      <c r="F46" s="5"/>
      <c r="G46" s="5"/>
    </row>
    <row r="47" spans="1:12" x14ac:dyDescent="0.25">
      <c r="A47" s="7" t="s">
        <v>162</v>
      </c>
      <c r="C47" s="5"/>
      <c r="F47" s="5"/>
      <c r="G47" s="5"/>
    </row>
    <row r="48" spans="1:12" x14ac:dyDescent="0.25">
      <c r="A48" s="7"/>
      <c r="C48" s="5"/>
      <c r="F48" s="5"/>
      <c r="G48" s="5"/>
    </row>
    <row r="49" spans="1:7" x14ac:dyDescent="0.25">
      <c r="A49" s="7"/>
      <c r="C49" s="5"/>
      <c r="F49" s="5"/>
      <c r="G49" s="5"/>
    </row>
    <row r="50" spans="1:7" x14ac:dyDescent="0.25">
      <c r="A50" s="7"/>
      <c r="C50" s="5"/>
      <c r="F50" s="5"/>
      <c r="G50" s="5"/>
    </row>
    <row r="51" spans="1:7" x14ac:dyDescent="0.25">
      <c r="A51" s="7"/>
      <c r="C51" s="5"/>
      <c r="F51" s="5"/>
      <c r="G51" s="5"/>
    </row>
    <row r="52" spans="1:7" x14ac:dyDescent="0.25">
      <c r="A52" s="7"/>
      <c r="C52" s="5"/>
      <c r="F52" s="5"/>
      <c r="G52" s="5"/>
    </row>
    <row r="53" spans="1:7" x14ac:dyDescent="0.25">
      <c r="A53" s="7"/>
      <c r="C53" s="5"/>
      <c r="F53" s="5"/>
      <c r="G53" s="5"/>
    </row>
    <row r="54" spans="1:7" x14ac:dyDescent="0.25">
      <c r="A54" s="7"/>
      <c r="C54" s="5"/>
      <c r="F54" s="5"/>
      <c r="G54" s="5"/>
    </row>
    <row r="55" spans="1:7" x14ac:dyDescent="0.25">
      <c r="A55" s="7"/>
      <c r="C55" s="5"/>
      <c r="F55" s="5"/>
      <c r="G55" s="5"/>
    </row>
    <row r="56" spans="1:7" x14ac:dyDescent="0.25">
      <c r="A56" s="7"/>
      <c r="C56" s="5"/>
      <c r="F56" s="5"/>
      <c r="G56" s="5"/>
    </row>
    <row r="57" spans="1:7" x14ac:dyDescent="0.25">
      <c r="A57" s="7"/>
      <c r="C57" s="5"/>
      <c r="F57" s="5"/>
      <c r="G57" s="5"/>
    </row>
    <row r="58" spans="1:7" x14ac:dyDescent="0.25">
      <c r="A58" s="7"/>
      <c r="F58" s="5"/>
      <c r="G58" s="5"/>
    </row>
    <row r="59" spans="1:7" x14ac:dyDescent="0.25">
      <c r="A59" s="44"/>
      <c r="B59" s="44"/>
      <c r="C59" s="44"/>
      <c r="F59" s="5"/>
      <c r="G59" s="5"/>
    </row>
    <row r="60" spans="1:7" x14ac:dyDescent="0.25">
      <c r="A60" s="44"/>
      <c r="B60" s="44"/>
      <c r="C60" s="44"/>
      <c r="F60" s="5"/>
      <c r="G60" s="5"/>
    </row>
    <row r="61" spans="1:7" x14ac:dyDescent="0.25">
      <c r="A61" s="45"/>
      <c r="B61" s="45"/>
      <c r="C61" s="45"/>
    </row>
    <row r="62" spans="1:7" x14ac:dyDescent="0.25">
      <c r="A62" s="45"/>
      <c r="B62" s="45"/>
      <c r="C62" s="45"/>
      <c r="D62" s="44"/>
      <c r="E62" s="44"/>
      <c r="F62" s="44"/>
      <c r="G62" s="44"/>
    </row>
    <row r="63" spans="1:7" x14ac:dyDescent="0.25">
      <c r="A63" s="45"/>
      <c r="B63" s="45"/>
      <c r="C63" s="45"/>
      <c r="D63" s="44"/>
      <c r="E63" s="44"/>
      <c r="F63" s="44"/>
      <c r="G63" s="44"/>
    </row>
    <row r="64" spans="1:7" x14ac:dyDescent="0.25">
      <c r="A64" s="45"/>
      <c r="B64" s="45"/>
      <c r="C64" s="45"/>
      <c r="D64" s="45"/>
      <c r="E64" s="45"/>
      <c r="F64" s="45"/>
      <c r="G64" s="45"/>
    </row>
    <row r="65" spans="1:7" x14ac:dyDescent="0.25">
      <c r="A65" s="45"/>
      <c r="B65" s="45"/>
      <c r="C65" s="45"/>
      <c r="D65" s="45"/>
      <c r="E65" s="45"/>
      <c r="F65" s="45"/>
      <c r="G65" s="45"/>
    </row>
    <row r="66" spans="1:7" x14ac:dyDescent="0.25">
      <c r="A66" s="45"/>
      <c r="B66" s="45"/>
      <c r="C66" s="45"/>
      <c r="D66" s="45"/>
      <c r="E66" s="45"/>
      <c r="F66" s="45"/>
      <c r="G66" s="45"/>
    </row>
    <row r="67" spans="1:7" x14ac:dyDescent="0.25">
      <c r="A67" s="45"/>
      <c r="B67" s="45"/>
      <c r="C67" s="45"/>
      <c r="D67" s="45"/>
      <c r="E67" s="45"/>
      <c r="F67" s="45"/>
      <c r="G67" s="45"/>
    </row>
    <row r="68" spans="1:7" x14ac:dyDescent="0.25">
      <c r="A68" s="45"/>
      <c r="B68" s="45"/>
      <c r="C68" s="45"/>
      <c r="D68" s="45"/>
      <c r="E68" s="45"/>
      <c r="F68" s="45"/>
      <c r="G68" s="45"/>
    </row>
    <row r="69" spans="1:7" x14ac:dyDescent="0.25">
      <c r="A69" s="45"/>
      <c r="B69" s="45"/>
      <c r="C69" s="45"/>
      <c r="D69" s="45"/>
      <c r="E69" s="45"/>
      <c r="F69" s="45"/>
      <c r="G69" s="45"/>
    </row>
    <row r="70" spans="1:7" x14ac:dyDescent="0.25">
      <c r="A70" s="45"/>
      <c r="B70" s="45"/>
      <c r="C70" s="45"/>
      <c r="D70" s="45"/>
      <c r="E70" s="45"/>
      <c r="F70" s="45"/>
      <c r="G70" s="45"/>
    </row>
    <row r="71" spans="1:7" x14ac:dyDescent="0.25">
      <c r="D71" s="45"/>
      <c r="E71" s="45"/>
      <c r="F71" s="45"/>
      <c r="G71" s="45"/>
    </row>
    <row r="72" spans="1:7" x14ac:dyDescent="0.25">
      <c r="D72" s="45"/>
      <c r="E72" s="45"/>
      <c r="F72" s="45"/>
      <c r="G72" s="45"/>
    </row>
    <row r="73" spans="1:7" x14ac:dyDescent="0.25">
      <c r="D73" s="45"/>
      <c r="E73" s="45"/>
      <c r="F73" s="45"/>
      <c r="G73" s="45"/>
    </row>
  </sheetData>
  <mergeCells count="3">
    <mergeCell ref="A25:D25"/>
    <mergeCell ref="A5:E5"/>
    <mergeCell ref="C26:E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sheetViews>
  <sheetFormatPr defaultColWidth="9.140625" defaultRowHeight="15" x14ac:dyDescent="0.25"/>
  <cols>
    <col min="1" max="1" width="18.85546875" style="4" customWidth="1"/>
    <col min="2" max="2" width="20.5703125" style="4" bestFit="1" customWidth="1"/>
    <col min="3" max="3" width="12.5703125" style="4" customWidth="1"/>
    <col min="4" max="5" width="13.42578125" style="4" customWidth="1"/>
    <col min="6" max="6" width="12.42578125" style="4" customWidth="1"/>
    <col min="7" max="7" width="25.5703125" style="4" bestFit="1" customWidth="1"/>
    <col min="8" max="16384" width="9.140625" style="4"/>
  </cols>
  <sheetData>
    <row r="1" spans="1:12" x14ac:dyDescent="0.25">
      <c r="A1" s="6" t="s">
        <v>6</v>
      </c>
    </row>
    <row r="2" spans="1:12" x14ac:dyDescent="0.25">
      <c r="A2" s="3"/>
      <c r="B2" s="3"/>
      <c r="C2" s="3"/>
      <c r="D2" s="3"/>
      <c r="E2" s="3"/>
      <c r="F2" s="3"/>
      <c r="G2" s="3"/>
    </row>
    <row r="3" spans="1:12" x14ac:dyDescent="0.25">
      <c r="A3" s="48" t="s">
        <v>52</v>
      </c>
      <c r="B3" s="48" t="s">
        <v>65</v>
      </c>
      <c r="C3" s="48" t="s">
        <v>66</v>
      </c>
      <c r="D3" s="13" t="s">
        <v>67</v>
      </c>
      <c r="E3" s="13" t="s">
        <v>66</v>
      </c>
      <c r="F3" s="5"/>
      <c r="G3" s="5"/>
    </row>
    <row r="4" spans="1:12" x14ac:dyDescent="0.25">
      <c r="A4" s="75" t="s">
        <v>68</v>
      </c>
      <c r="B4" s="75"/>
      <c r="C4" s="75"/>
      <c r="D4" s="75"/>
      <c r="E4" s="75"/>
      <c r="F4" s="5"/>
      <c r="G4" s="5"/>
    </row>
    <row r="5" spans="1:12" x14ac:dyDescent="0.25">
      <c r="A5" s="1" t="s">
        <v>58</v>
      </c>
      <c r="B5" s="4">
        <v>2014</v>
      </c>
      <c r="C5" s="9">
        <v>0.45</v>
      </c>
      <c r="D5" s="9">
        <v>0.32</v>
      </c>
      <c r="E5" s="9">
        <v>7.0000000000000007E-2</v>
      </c>
      <c r="F5" s="5"/>
      <c r="G5" s="5"/>
      <c r="J5" s="9"/>
      <c r="K5" s="9"/>
      <c r="L5" s="9"/>
    </row>
    <row r="6" spans="1:12" x14ac:dyDescent="0.25">
      <c r="A6" s="1"/>
      <c r="B6" s="4">
        <v>2015</v>
      </c>
      <c r="C6" s="9">
        <v>0.47</v>
      </c>
      <c r="D6" s="9">
        <v>0.27</v>
      </c>
      <c r="F6" s="5"/>
      <c r="G6" s="5"/>
      <c r="J6" s="9"/>
      <c r="K6" s="9"/>
    </row>
    <row r="7" spans="1:12" x14ac:dyDescent="0.25">
      <c r="A7" s="1"/>
      <c r="B7" s="4">
        <v>2016</v>
      </c>
      <c r="C7" s="9">
        <v>0.49</v>
      </c>
      <c r="F7" s="5"/>
      <c r="G7" s="5"/>
      <c r="J7" s="9"/>
    </row>
    <row r="8" spans="1:12" x14ac:dyDescent="0.25">
      <c r="A8" s="1" t="s">
        <v>24</v>
      </c>
      <c r="F8" s="5"/>
      <c r="G8" s="5"/>
    </row>
    <row r="9" spans="1:12" x14ac:dyDescent="0.25">
      <c r="A9" s="1" t="s">
        <v>59</v>
      </c>
      <c r="B9" s="4">
        <v>2014</v>
      </c>
      <c r="C9" s="9">
        <v>0.51</v>
      </c>
      <c r="D9" s="9">
        <v>0.24</v>
      </c>
      <c r="E9" s="9">
        <v>0.05</v>
      </c>
      <c r="F9" s="5"/>
      <c r="G9" s="5"/>
      <c r="J9" s="9"/>
      <c r="K9" s="9"/>
      <c r="L9" s="9"/>
    </row>
    <row r="10" spans="1:12" x14ac:dyDescent="0.25">
      <c r="A10" s="1"/>
      <c r="B10" s="4">
        <v>2015</v>
      </c>
      <c r="C10" s="9">
        <v>0.52</v>
      </c>
      <c r="D10" s="9">
        <v>0.31</v>
      </c>
      <c r="F10" s="5"/>
      <c r="G10" s="5"/>
      <c r="J10" s="9"/>
      <c r="K10" s="9"/>
    </row>
    <row r="11" spans="1:12" x14ac:dyDescent="0.25">
      <c r="A11" s="1"/>
      <c r="B11" s="4">
        <v>2016</v>
      </c>
      <c r="C11" s="9">
        <v>0.49</v>
      </c>
      <c r="F11" s="5"/>
      <c r="G11" s="5"/>
      <c r="J11" s="9"/>
    </row>
    <row r="12" spans="1:12" x14ac:dyDescent="0.25">
      <c r="A12" s="1" t="s">
        <v>24</v>
      </c>
      <c r="F12" s="5"/>
      <c r="G12" s="5"/>
    </row>
    <row r="13" spans="1:12" ht="30" x14ac:dyDescent="0.25">
      <c r="A13" s="28" t="s">
        <v>60</v>
      </c>
      <c r="B13" s="4">
        <v>2014</v>
      </c>
      <c r="C13" s="9">
        <v>0.52</v>
      </c>
      <c r="D13" s="9">
        <v>0.31</v>
      </c>
      <c r="E13" s="9">
        <v>0.05</v>
      </c>
      <c r="F13" s="5"/>
      <c r="G13" s="5"/>
      <c r="J13" s="9"/>
      <c r="K13" s="9"/>
      <c r="L13" s="9"/>
    </row>
    <row r="14" spans="1:12" x14ac:dyDescent="0.25">
      <c r="A14" s="1"/>
      <c r="B14" s="4">
        <v>2015</v>
      </c>
      <c r="C14" s="9">
        <v>0.54</v>
      </c>
      <c r="D14" s="9">
        <v>0.28000000000000003</v>
      </c>
      <c r="F14" s="5"/>
      <c r="G14" s="5"/>
      <c r="J14" s="9"/>
      <c r="K14" s="9"/>
    </row>
    <row r="15" spans="1:12" x14ac:dyDescent="0.25">
      <c r="A15" s="1"/>
      <c r="B15" s="4">
        <v>2016</v>
      </c>
      <c r="C15" s="9">
        <v>0.55000000000000004</v>
      </c>
      <c r="F15" s="5"/>
      <c r="G15" s="5"/>
      <c r="J15" s="9"/>
    </row>
    <row r="16" spans="1:12" x14ac:dyDescent="0.25">
      <c r="A16" s="1" t="s">
        <v>24</v>
      </c>
      <c r="F16" s="5"/>
      <c r="G16" s="5"/>
    </row>
    <row r="17" spans="1:12" ht="30" x14ac:dyDescent="0.25">
      <c r="A17" s="28" t="s">
        <v>61</v>
      </c>
      <c r="B17" s="4">
        <v>2014</v>
      </c>
      <c r="C17" s="9">
        <v>0.53</v>
      </c>
      <c r="D17" s="9">
        <v>0.32</v>
      </c>
      <c r="E17" s="9">
        <v>0.05</v>
      </c>
      <c r="F17" s="5"/>
      <c r="G17" s="5"/>
      <c r="J17" s="9"/>
      <c r="K17" s="9"/>
      <c r="L17" s="9"/>
    </row>
    <row r="18" spans="1:12" x14ac:dyDescent="0.25">
      <c r="A18" s="1"/>
      <c r="B18" s="4">
        <v>2015</v>
      </c>
      <c r="C18" s="9">
        <v>0.56000000000000005</v>
      </c>
      <c r="D18" s="9">
        <v>0.3</v>
      </c>
      <c r="F18" s="5"/>
      <c r="G18" s="5"/>
      <c r="J18" s="9"/>
      <c r="K18" s="9"/>
    </row>
    <row r="19" spans="1:12" x14ac:dyDescent="0.25">
      <c r="A19" s="1"/>
      <c r="B19" s="4">
        <v>2016</v>
      </c>
      <c r="C19" s="9">
        <v>0.54</v>
      </c>
      <c r="F19" s="5"/>
      <c r="G19" s="5"/>
      <c r="J19" s="9"/>
    </row>
    <row r="20" spans="1:12" x14ac:dyDescent="0.25">
      <c r="A20" s="1" t="s">
        <v>24</v>
      </c>
      <c r="F20" s="5"/>
      <c r="G20" s="5"/>
    </row>
    <row r="21" spans="1:12" x14ac:dyDescent="0.25">
      <c r="A21" s="1" t="s">
        <v>62</v>
      </c>
      <c r="B21" s="4">
        <v>2014</v>
      </c>
      <c r="C21" s="9">
        <v>0.57999999999999996</v>
      </c>
      <c r="D21" s="9">
        <v>0.27</v>
      </c>
      <c r="E21" s="9">
        <v>0.04</v>
      </c>
      <c r="F21" s="5"/>
      <c r="G21" s="5"/>
      <c r="J21" s="9"/>
      <c r="K21" s="9"/>
      <c r="L21" s="9"/>
    </row>
    <row r="22" spans="1:12" x14ac:dyDescent="0.25">
      <c r="A22" s="1"/>
      <c r="B22" s="4">
        <v>2015</v>
      </c>
      <c r="C22" s="9">
        <v>0.59</v>
      </c>
      <c r="D22" s="9">
        <v>0.26</v>
      </c>
      <c r="F22" s="5"/>
      <c r="G22" s="5"/>
      <c r="J22" s="9"/>
      <c r="K22" s="9"/>
    </row>
    <row r="23" spans="1:12" x14ac:dyDescent="0.25">
      <c r="A23" s="1"/>
      <c r="B23" s="4">
        <v>2016</v>
      </c>
      <c r="C23" s="9">
        <v>0.59</v>
      </c>
      <c r="F23" s="5"/>
      <c r="G23" s="5"/>
      <c r="J23" s="9"/>
    </row>
    <row r="24" spans="1:12" x14ac:dyDescent="0.25">
      <c r="A24" s="3"/>
      <c r="C24" s="5"/>
      <c r="D24" s="5"/>
      <c r="E24" s="5"/>
      <c r="F24" s="5"/>
      <c r="G24" s="5"/>
    </row>
    <row r="25" spans="1:12" x14ac:dyDescent="0.25">
      <c r="A25" s="7" t="s">
        <v>167</v>
      </c>
      <c r="C25" s="5"/>
      <c r="D25" s="5"/>
      <c r="E25" s="5"/>
      <c r="F25" s="5"/>
      <c r="G25" s="5"/>
    </row>
    <row r="26" spans="1:12" x14ac:dyDescent="0.25">
      <c r="A26" s="3"/>
      <c r="C26" s="5"/>
      <c r="D26" s="5"/>
      <c r="E26" s="5"/>
      <c r="F26" s="5"/>
      <c r="G26" s="5"/>
    </row>
    <row r="27" spans="1:12" x14ac:dyDescent="0.25">
      <c r="A27" s="3"/>
      <c r="C27" s="5"/>
      <c r="D27" s="5"/>
      <c r="E27" s="5"/>
      <c r="F27" s="5"/>
      <c r="G27" s="5"/>
    </row>
    <row r="28" spans="1:12" x14ac:dyDescent="0.25">
      <c r="A28" s="3"/>
      <c r="C28" s="5"/>
      <c r="D28" s="5"/>
      <c r="E28" s="5"/>
      <c r="F28" s="5"/>
      <c r="G28" s="5"/>
    </row>
    <row r="29" spans="1:12" x14ac:dyDescent="0.25">
      <c r="A29" s="3"/>
      <c r="C29" s="5"/>
      <c r="D29" s="5"/>
      <c r="E29" s="5"/>
      <c r="F29" s="5"/>
      <c r="G29" s="5"/>
    </row>
    <row r="30" spans="1:12" x14ac:dyDescent="0.25">
      <c r="A30" s="3"/>
      <c r="C30" s="5"/>
      <c r="D30" s="5"/>
      <c r="E30" s="5"/>
      <c r="F30" s="5"/>
      <c r="G30" s="5"/>
    </row>
    <row r="31" spans="1:12" x14ac:dyDescent="0.25">
      <c r="A31" s="3"/>
      <c r="C31" s="5"/>
      <c r="D31" s="5"/>
      <c r="E31" s="5"/>
      <c r="F31" s="5"/>
      <c r="G31" s="5"/>
    </row>
    <row r="32" spans="1:12" x14ac:dyDescent="0.25">
      <c r="C32" s="5"/>
      <c r="D32" s="5"/>
      <c r="E32" s="5"/>
      <c r="F32" s="5"/>
      <c r="G32" s="5"/>
    </row>
    <row r="33" spans="1:7" x14ac:dyDescent="0.25">
      <c r="A33" s="3"/>
      <c r="C33" s="5"/>
      <c r="D33" s="5"/>
      <c r="E33" s="5"/>
      <c r="F33" s="5"/>
      <c r="G33" s="5"/>
    </row>
    <row r="34" spans="1:7" x14ac:dyDescent="0.25">
      <c r="A34" s="3"/>
      <c r="C34" s="5"/>
      <c r="D34" s="5"/>
      <c r="E34" s="5"/>
      <c r="F34" s="5"/>
      <c r="G34" s="5"/>
    </row>
    <row r="35" spans="1:7" x14ac:dyDescent="0.25">
      <c r="A35" s="3"/>
      <c r="C35" s="5"/>
      <c r="D35" s="5"/>
      <c r="E35" s="5"/>
      <c r="F35" s="5"/>
      <c r="G35" s="5"/>
    </row>
    <row r="36" spans="1:7" x14ac:dyDescent="0.25">
      <c r="A36" s="3"/>
      <c r="C36" s="5"/>
      <c r="D36" s="5"/>
      <c r="E36" s="5"/>
      <c r="F36" s="5"/>
      <c r="G36" s="5"/>
    </row>
    <row r="37" spans="1:7" x14ac:dyDescent="0.25">
      <c r="A37" s="3"/>
      <c r="C37" s="5"/>
      <c r="D37" s="5"/>
      <c r="E37" s="5"/>
      <c r="F37" s="5"/>
      <c r="G37" s="5"/>
    </row>
    <row r="38" spans="1:7" x14ac:dyDescent="0.25">
      <c r="A38" s="3"/>
      <c r="C38" s="5"/>
      <c r="D38" s="5"/>
      <c r="E38" s="5"/>
      <c r="F38" s="5"/>
      <c r="G38" s="5"/>
    </row>
    <row r="39" spans="1:7" x14ac:dyDescent="0.25">
      <c r="A39" s="3"/>
      <c r="C39" s="5"/>
      <c r="D39" s="5"/>
      <c r="E39" s="5"/>
      <c r="F39" s="5"/>
      <c r="G39" s="5"/>
    </row>
    <row r="40" spans="1:7" x14ac:dyDescent="0.25">
      <c r="A40" s="3"/>
      <c r="C40" s="5"/>
      <c r="D40" s="5"/>
      <c r="E40" s="5"/>
      <c r="F40" s="5"/>
      <c r="G40" s="5"/>
    </row>
    <row r="41" spans="1:7" x14ac:dyDescent="0.25">
      <c r="A41" s="3"/>
      <c r="C41" s="5"/>
      <c r="D41" s="5"/>
      <c r="E41" s="5"/>
      <c r="F41" s="5"/>
      <c r="G41" s="5"/>
    </row>
    <row r="42" spans="1:7" x14ac:dyDescent="0.25">
      <c r="A42" s="3"/>
      <c r="C42" s="5"/>
      <c r="D42" s="5"/>
      <c r="E42" s="5"/>
      <c r="F42" s="5"/>
      <c r="G42" s="5"/>
    </row>
    <row r="43" spans="1:7" x14ac:dyDescent="0.25">
      <c r="A43" s="3"/>
      <c r="C43" s="5"/>
      <c r="D43" s="5"/>
      <c r="E43" s="5"/>
      <c r="F43" s="5"/>
      <c r="G43" s="5"/>
    </row>
    <row r="44" spans="1:7" x14ac:dyDescent="0.25">
      <c r="A44" s="3"/>
      <c r="C44" s="5"/>
      <c r="D44" s="5"/>
      <c r="E44" s="5"/>
      <c r="F44" s="5"/>
      <c r="G44" s="5"/>
    </row>
    <row r="45" spans="1:7" x14ac:dyDescent="0.25">
      <c r="A45" s="3"/>
      <c r="C45" s="5"/>
      <c r="D45" s="5"/>
      <c r="E45" s="5"/>
      <c r="F45" s="5"/>
      <c r="G45" s="5"/>
    </row>
    <row r="46" spans="1:7" x14ac:dyDescent="0.25">
      <c r="A46" s="3"/>
      <c r="C46" s="5"/>
      <c r="D46" s="5"/>
      <c r="E46" s="5"/>
      <c r="F46" s="5"/>
      <c r="G46" s="5"/>
    </row>
    <row r="47" spans="1:7" x14ac:dyDescent="0.25">
      <c r="A47" s="3"/>
      <c r="C47" s="5"/>
      <c r="D47" s="5"/>
      <c r="E47" s="5"/>
      <c r="F47" s="5"/>
      <c r="G47" s="5"/>
    </row>
    <row r="48" spans="1:7" x14ac:dyDescent="0.25">
      <c r="A48" s="3"/>
      <c r="C48" s="5"/>
      <c r="D48" s="5"/>
      <c r="E48" s="5"/>
      <c r="F48" s="5"/>
      <c r="G48" s="5"/>
    </row>
    <row r="49" spans="1:7" x14ac:dyDescent="0.25">
      <c r="A49" s="3"/>
      <c r="C49" s="5"/>
      <c r="D49" s="5"/>
      <c r="E49" s="5"/>
      <c r="F49" s="5"/>
      <c r="G49" s="5"/>
    </row>
    <row r="50" spans="1:7" x14ac:dyDescent="0.25">
      <c r="A50" s="3"/>
      <c r="C50" s="5"/>
      <c r="D50" s="5"/>
      <c r="E50" s="5"/>
      <c r="F50" s="5"/>
      <c r="G50" s="5"/>
    </row>
    <row r="51" spans="1:7" x14ac:dyDescent="0.25">
      <c r="A51" s="3"/>
      <c r="C51" s="5"/>
      <c r="D51" s="5"/>
      <c r="E51" s="5"/>
      <c r="F51" s="5"/>
      <c r="G51" s="5"/>
    </row>
    <row r="52" spans="1:7" x14ac:dyDescent="0.25">
      <c r="A52" s="3"/>
      <c r="C52" s="5"/>
      <c r="D52" s="5"/>
      <c r="E52" s="5"/>
      <c r="F52" s="5"/>
      <c r="G52" s="5"/>
    </row>
    <row r="53" spans="1:7" x14ac:dyDescent="0.25">
      <c r="A53" s="3"/>
    </row>
    <row r="54" spans="1:7" x14ac:dyDescent="0.25">
      <c r="A54" s="77"/>
      <c r="B54" s="77"/>
      <c r="C54" s="77"/>
      <c r="D54" s="77"/>
      <c r="E54" s="77"/>
      <c r="F54" s="77"/>
      <c r="G54" s="77"/>
    </row>
    <row r="55" spans="1:7" x14ac:dyDescent="0.25">
      <c r="A55" s="77"/>
      <c r="B55" s="77"/>
      <c r="C55" s="77"/>
      <c r="D55" s="77"/>
      <c r="E55" s="77"/>
      <c r="F55" s="77"/>
      <c r="G55" s="77"/>
    </row>
    <row r="56" spans="1:7" x14ac:dyDescent="0.25">
      <c r="A56" s="78"/>
      <c r="B56" s="78"/>
      <c r="C56" s="78"/>
      <c r="D56" s="78"/>
      <c r="E56" s="78"/>
      <c r="F56" s="78"/>
      <c r="G56" s="78"/>
    </row>
    <row r="57" spans="1:7" x14ac:dyDescent="0.25">
      <c r="A57" s="78"/>
      <c r="B57" s="78"/>
      <c r="C57" s="78"/>
      <c r="D57" s="78"/>
      <c r="E57" s="78"/>
      <c r="F57" s="78"/>
      <c r="G57" s="78"/>
    </row>
    <row r="58" spans="1:7" x14ac:dyDescent="0.25">
      <c r="A58" s="78"/>
      <c r="B58" s="78"/>
      <c r="C58" s="78"/>
      <c r="D58" s="78"/>
      <c r="E58" s="78"/>
      <c r="F58" s="78"/>
      <c r="G58" s="78"/>
    </row>
    <row r="59" spans="1:7" x14ac:dyDescent="0.25">
      <c r="A59" s="78"/>
      <c r="B59" s="78"/>
      <c r="C59" s="78"/>
      <c r="D59" s="78"/>
      <c r="E59" s="78"/>
      <c r="F59" s="78"/>
      <c r="G59" s="78"/>
    </row>
    <row r="60" spans="1:7" x14ac:dyDescent="0.25">
      <c r="A60" s="78"/>
      <c r="B60" s="78"/>
      <c r="C60" s="78"/>
      <c r="D60" s="78"/>
      <c r="E60" s="78"/>
      <c r="F60" s="78"/>
      <c r="G60" s="78"/>
    </row>
    <row r="61" spans="1:7" x14ac:dyDescent="0.25">
      <c r="A61" s="78"/>
      <c r="B61" s="78"/>
      <c r="C61" s="78"/>
      <c r="D61" s="78"/>
      <c r="E61" s="78"/>
      <c r="F61" s="78"/>
      <c r="G61" s="78"/>
    </row>
    <row r="62" spans="1:7" x14ac:dyDescent="0.25">
      <c r="A62" s="78"/>
      <c r="B62" s="78"/>
      <c r="C62" s="78"/>
      <c r="D62" s="78"/>
      <c r="E62" s="78"/>
      <c r="F62" s="78"/>
      <c r="G62" s="78"/>
    </row>
    <row r="63" spans="1:7" x14ac:dyDescent="0.25">
      <c r="A63" s="78"/>
      <c r="B63" s="78"/>
      <c r="C63" s="78"/>
      <c r="D63" s="78"/>
      <c r="E63" s="78"/>
      <c r="F63" s="78"/>
      <c r="G63" s="78"/>
    </row>
    <row r="64" spans="1:7" x14ac:dyDescent="0.25">
      <c r="A64" s="78"/>
      <c r="B64" s="78"/>
      <c r="C64" s="78"/>
      <c r="D64" s="78"/>
      <c r="E64" s="78"/>
      <c r="F64" s="78"/>
      <c r="G64" s="78"/>
    </row>
    <row r="65" spans="1:7" x14ac:dyDescent="0.25">
      <c r="A65" s="78"/>
      <c r="B65" s="78"/>
      <c r="C65" s="78"/>
      <c r="D65" s="78"/>
      <c r="E65" s="78"/>
      <c r="F65" s="78"/>
      <c r="G65" s="78"/>
    </row>
  </sheetData>
  <mergeCells count="3">
    <mergeCell ref="A54:G55"/>
    <mergeCell ref="A56:G65"/>
    <mergeCell ref="A4:E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Views>
    <sheetView workbookViewId="0"/>
  </sheetViews>
  <sheetFormatPr defaultColWidth="9.140625" defaultRowHeight="15" x14ac:dyDescent="0.25"/>
  <cols>
    <col min="1" max="1" width="14.5703125" style="10" customWidth="1"/>
    <col min="2" max="2" width="14.5703125" style="4" customWidth="1"/>
    <col min="3" max="6" width="14.5703125" style="9" customWidth="1"/>
    <col min="7" max="16384" width="9.140625" style="4"/>
  </cols>
  <sheetData>
    <row r="1" spans="1:6" x14ac:dyDescent="0.25">
      <c r="A1" s="6" t="s">
        <v>7</v>
      </c>
    </row>
    <row r="2" spans="1:6" x14ac:dyDescent="0.25">
      <c r="A2" s="7"/>
      <c r="B2" s="3"/>
      <c r="C2" s="14"/>
      <c r="D2" s="14"/>
      <c r="E2" s="14"/>
      <c r="F2" s="14"/>
    </row>
    <row r="3" spans="1:6" ht="25.5" x14ac:dyDescent="0.25">
      <c r="A3" s="48" t="s">
        <v>37</v>
      </c>
      <c r="B3" s="48" t="s">
        <v>65</v>
      </c>
      <c r="C3" s="15" t="s">
        <v>69</v>
      </c>
      <c r="D3" s="15" t="s">
        <v>54</v>
      </c>
      <c r="E3" s="15" t="s">
        <v>55</v>
      </c>
      <c r="F3" s="15" t="s">
        <v>56</v>
      </c>
    </row>
    <row r="4" spans="1:6" x14ac:dyDescent="0.25">
      <c r="A4" s="7" t="s">
        <v>70</v>
      </c>
      <c r="B4" s="47">
        <v>2012</v>
      </c>
      <c r="C4" s="1" t="s">
        <v>71</v>
      </c>
      <c r="D4" s="22">
        <v>58</v>
      </c>
      <c r="E4" s="22">
        <v>21.420676013729732</v>
      </c>
      <c r="F4" s="22">
        <v>3.2986212112397197</v>
      </c>
    </row>
    <row r="5" spans="1:6" x14ac:dyDescent="0.25">
      <c r="A5" s="7"/>
      <c r="B5" s="47"/>
      <c r="C5" s="1" t="s">
        <v>72</v>
      </c>
      <c r="D5" s="23">
        <v>70.004699002767211</v>
      </c>
      <c r="E5" s="22">
        <v>14.405054038531802</v>
      </c>
      <c r="F5" s="22">
        <v>2.2398579856941438</v>
      </c>
    </row>
    <row r="6" spans="1:6" x14ac:dyDescent="0.25">
      <c r="A6" s="7"/>
      <c r="B6" s="47" t="s">
        <v>24</v>
      </c>
      <c r="C6" s="1" t="s">
        <v>24</v>
      </c>
      <c r="D6" s="23"/>
      <c r="E6" s="22"/>
      <c r="F6" s="22"/>
    </row>
    <row r="7" spans="1:6" x14ac:dyDescent="0.25">
      <c r="A7" s="7"/>
      <c r="B7" s="33">
        <v>2013</v>
      </c>
      <c r="C7" s="1" t="s">
        <v>71</v>
      </c>
      <c r="D7" s="22">
        <v>60.4</v>
      </c>
      <c r="E7" s="22">
        <v>19.300000000000004</v>
      </c>
      <c r="F7" s="22"/>
    </row>
    <row r="8" spans="1:6" x14ac:dyDescent="0.25">
      <c r="A8" s="7"/>
      <c r="B8" s="47"/>
      <c r="C8" s="1" t="s">
        <v>72</v>
      </c>
      <c r="D8" s="22">
        <v>71.400000000000006</v>
      </c>
      <c r="E8" s="22">
        <v>13.599999999999994</v>
      </c>
      <c r="F8" s="1"/>
    </row>
    <row r="9" spans="1:6" x14ac:dyDescent="0.25">
      <c r="A9" s="7"/>
      <c r="B9" s="47" t="s">
        <v>24</v>
      </c>
      <c r="C9" s="1" t="s">
        <v>24</v>
      </c>
      <c r="D9" s="22"/>
      <c r="E9" s="22"/>
      <c r="F9" s="1"/>
    </row>
    <row r="10" spans="1:6" x14ac:dyDescent="0.25">
      <c r="A10" s="7"/>
      <c r="B10" s="47">
        <v>2014</v>
      </c>
      <c r="C10" s="1" t="s">
        <v>71</v>
      </c>
      <c r="D10" s="22">
        <v>61.2</v>
      </c>
      <c r="E10" s="22"/>
      <c r="F10" s="22"/>
    </row>
    <row r="11" spans="1:6" x14ac:dyDescent="0.25">
      <c r="A11" s="7"/>
      <c r="B11" s="47"/>
      <c r="C11" s="1" t="s">
        <v>72</v>
      </c>
      <c r="D11" s="22">
        <v>72.900000000000006</v>
      </c>
      <c r="E11" s="22"/>
      <c r="F11" s="22"/>
    </row>
    <row r="12" spans="1:6" x14ac:dyDescent="0.25">
      <c r="A12" s="7"/>
      <c r="B12" s="47"/>
      <c r="C12" s="1"/>
      <c r="D12" s="22"/>
      <c r="E12" s="22"/>
      <c r="F12" s="22"/>
    </row>
    <row r="13" spans="1:6" ht="19.899999999999999" customHeight="1" x14ac:dyDescent="0.25">
      <c r="A13" s="10" t="s">
        <v>51</v>
      </c>
    </row>
    <row r="14" spans="1:6" x14ac:dyDescent="0.25">
      <c r="A14" s="10" t="s">
        <v>73</v>
      </c>
    </row>
    <row r="15" spans="1:6" x14ac:dyDescent="0.25">
      <c r="A15" s="7"/>
    </row>
    <row r="16" spans="1:6" x14ac:dyDescent="0.25">
      <c r="A16" s="7"/>
    </row>
    <row r="17" spans="1:1" x14ac:dyDescent="0.25">
      <c r="A17" s="7"/>
    </row>
    <row r="18" spans="1:1" x14ac:dyDescent="0.25">
      <c r="A18" s="7"/>
    </row>
    <row r="19" spans="1:1" x14ac:dyDescent="0.25">
      <c r="A19" s="7"/>
    </row>
    <row r="20" spans="1:1" x14ac:dyDescent="0.25">
      <c r="A20" s="7"/>
    </row>
    <row r="21" spans="1:1" x14ac:dyDescent="0.25">
      <c r="A21"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7" spans="1:1" x14ac:dyDescent="0.25">
      <c r="A87" s="7"/>
    </row>
    <row r="88" spans="1:1" x14ac:dyDescent="0.25">
      <c r="A88" s="7"/>
    </row>
    <row r="89" spans="1:1" x14ac:dyDescent="0.25">
      <c r="A89" s="7"/>
    </row>
    <row r="90" spans="1:1" x14ac:dyDescent="0.25">
      <c r="A90" s="7"/>
    </row>
    <row r="92" spans="1:1" x14ac:dyDescent="0.25">
      <c r="A92" s="7"/>
    </row>
    <row r="93" spans="1:1" x14ac:dyDescent="0.25">
      <c r="A93" s="7"/>
    </row>
    <row r="94" spans="1:1" x14ac:dyDescent="0.25">
      <c r="A94" s="7"/>
    </row>
    <row r="95" spans="1:1" x14ac:dyDescent="0.25">
      <c r="A95" s="7"/>
    </row>
    <row r="96" spans="1:1"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x14ac:dyDescent="0.25">
      <c r="A109" s="7"/>
    </row>
    <row r="110" spans="1:1" x14ac:dyDescent="0.25">
      <c r="A110" s="7"/>
    </row>
    <row r="111" spans="1:1" x14ac:dyDescent="0.25">
      <c r="A111" s="7"/>
    </row>
    <row r="112" spans="1:1" x14ac:dyDescent="0.25">
      <c r="A112"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row r="121" spans="1:1" x14ac:dyDescent="0.25">
      <c r="A121" s="7"/>
    </row>
    <row r="122" spans="1:1" x14ac:dyDescent="0.25">
      <c r="A122" s="7"/>
    </row>
    <row r="123" spans="1:1" x14ac:dyDescent="0.25">
      <c r="A123" s="7"/>
    </row>
    <row r="124" spans="1:1" x14ac:dyDescent="0.25">
      <c r="A124" s="7"/>
    </row>
    <row r="125" spans="1:1" x14ac:dyDescent="0.25">
      <c r="A125" s="7"/>
    </row>
    <row r="126" spans="1:1" x14ac:dyDescent="0.25">
      <c r="A126" s="7"/>
    </row>
    <row r="127" spans="1:1" x14ac:dyDescent="0.25">
      <c r="A127" s="7"/>
    </row>
    <row r="128" spans="1:1" x14ac:dyDescent="0.25">
      <c r="A128" s="7"/>
    </row>
    <row r="129" spans="1:6" x14ac:dyDescent="0.25">
      <c r="A129" s="7"/>
    </row>
    <row r="130" spans="1:6" x14ac:dyDescent="0.25">
      <c r="A130" s="7"/>
    </row>
    <row r="131" spans="1:6" x14ac:dyDescent="0.25">
      <c r="A131" s="7"/>
    </row>
    <row r="132" spans="1:6" x14ac:dyDescent="0.25">
      <c r="A132" s="7"/>
    </row>
    <row r="133" spans="1:6" x14ac:dyDescent="0.25">
      <c r="A133" s="7"/>
    </row>
    <row r="134" spans="1:6" x14ac:dyDescent="0.25">
      <c r="A134" s="7"/>
    </row>
    <row r="135" spans="1:6" x14ac:dyDescent="0.25">
      <c r="A135" s="77"/>
      <c r="B135" s="77"/>
      <c r="C135" s="77"/>
      <c r="D135" s="77"/>
      <c r="E135" s="77"/>
      <c r="F135" s="77"/>
    </row>
    <row r="136" spans="1:6" x14ac:dyDescent="0.25">
      <c r="A136" s="77"/>
      <c r="B136" s="77"/>
      <c r="C136" s="77"/>
      <c r="D136" s="77"/>
      <c r="E136" s="77"/>
      <c r="F136" s="77"/>
    </row>
    <row r="137" spans="1:6" x14ac:dyDescent="0.25">
      <c r="A137" s="78"/>
      <c r="B137" s="78"/>
      <c r="C137" s="78"/>
      <c r="D137" s="78"/>
      <c r="E137" s="78"/>
      <c r="F137" s="78"/>
    </row>
    <row r="138" spans="1:6" x14ac:dyDescent="0.25">
      <c r="A138" s="78"/>
      <c r="B138" s="78"/>
      <c r="C138" s="78"/>
      <c r="D138" s="78"/>
      <c r="E138" s="78"/>
      <c r="F138" s="78"/>
    </row>
    <row r="139" spans="1:6" x14ac:dyDescent="0.25">
      <c r="A139" s="78"/>
      <c r="B139" s="78"/>
      <c r="C139" s="78"/>
      <c r="D139" s="78"/>
      <c r="E139" s="78"/>
      <c r="F139" s="78"/>
    </row>
    <row r="140" spans="1:6" x14ac:dyDescent="0.25">
      <c r="A140" s="78"/>
      <c r="B140" s="78"/>
      <c r="C140" s="78"/>
      <c r="D140" s="78"/>
      <c r="E140" s="78"/>
      <c r="F140" s="78"/>
    </row>
    <row r="141" spans="1:6" x14ac:dyDescent="0.25">
      <c r="A141" s="78"/>
      <c r="B141" s="78"/>
      <c r="C141" s="78"/>
      <c r="D141" s="78"/>
      <c r="E141" s="78"/>
      <c r="F141" s="78"/>
    </row>
    <row r="142" spans="1:6" x14ac:dyDescent="0.25">
      <c r="A142" s="78"/>
      <c r="B142" s="78"/>
      <c r="C142" s="78"/>
      <c r="D142" s="78"/>
      <c r="E142" s="78"/>
      <c r="F142" s="78"/>
    </row>
    <row r="143" spans="1:6" x14ac:dyDescent="0.25">
      <c r="A143" s="78"/>
      <c r="B143" s="78"/>
      <c r="C143" s="78"/>
      <c r="D143" s="78"/>
      <c r="E143" s="78"/>
      <c r="F143" s="78"/>
    </row>
    <row r="144" spans="1:6" x14ac:dyDescent="0.25">
      <c r="A144" s="78"/>
      <c r="B144" s="78"/>
      <c r="C144" s="78"/>
      <c r="D144" s="78"/>
      <c r="E144" s="78"/>
      <c r="F144" s="78"/>
    </row>
    <row r="145" spans="1:6" x14ac:dyDescent="0.25">
      <c r="A145" s="78"/>
      <c r="B145" s="78"/>
      <c r="C145" s="78"/>
      <c r="D145" s="78"/>
      <c r="E145" s="78"/>
      <c r="F145" s="78"/>
    </row>
    <row r="146" spans="1:6" x14ac:dyDescent="0.25">
      <c r="A146" s="78"/>
      <c r="B146" s="78"/>
      <c r="C146" s="78"/>
      <c r="D146" s="78"/>
      <c r="E146" s="78"/>
      <c r="F146" s="78"/>
    </row>
  </sheetData>
  <mergeCells count="2">
    <mergeCell ref="A135:F136"/>
    <mergeCell ref="A137:F14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Views>
    <sheetView workbookViewId="0"/>
  </sheetViews>
  <sheetFormatPr defaultColWidth="9.140625" defaultRowHeight="15" x14ac:dyDescent="0.25"/>
  <cols>
    <col min="1" max="1" width="14.5703125" style="10" customWidth="1"/>
    <col min="2" max="2" width="11.7109375" style="4" customWidth="1"/>
    <col min="3" max="6" width="13" style="9" customWidth="1"/>
    <col min="7" max="7" width="15.42578125" style="4" customWidth="1"/>
    <col min="8" max="16384" width="9.140625" style="4"/>
  </cols>
  <sheetData>
    <row r="1" spans="1:6" x14ac:dyDescent="0.25">
      <c r="A1" s="6" t="s">
        <v>8</v>
      </c>
    </row>
    <row r="2" spans="1:6" x14ac:dyDescent="0.25">
      <c r="A2" s="7"/>
      <c r="B2" s="3"/>
      <c r="C2" s="14"/>
      <c r="D2" s="14"/>
      <c r="E2" s="14"/>
      <c r="F2" s="14"/>
    </row>
    <row r="3" spans="1:6" ht="25.5" x14ac:dyDescent="0.25">
      <c r="A3" s="11" t="s">
        <v>37</v>
      </c>
      <c r="B3" s="48" t="s">
        <v>65</v>
      </c>
      <c r="C3" s="15" t="s">
        <v>69</v>
      </c>
      <c r="D3" s="15" t="s">
        <v>66</v>
      </c>
      <c r="E3" s="15" t="s">
        <v>67</v>
      </c>
      <c r="F3" s="15" t="s">
        <v>54</v>
      </c>
    </row>
    <row r="4" spans="1:6" x14ac:dyDescent="0.25">
      <c r="A4" s="7" t="s">
        <v>70</v>
      </c>
      <c r="B4" s="47">
        <v>2014</v>
      </c>
      <c r="C4" s="1" t="s">
        <v>71</v>
      </c>
      <c r="D4" s="22">
        <v>49.8</v>
      </c>
      <c r="E4" s="22">
        <v>32.200000000000003</v>
      </c>
      <c r="F4" s="22">
        <v>5.5</v>
      </c>
    </row>
    <row r="5" spans="1:6" x14ac:dyDescent="0.25">
      <c r="A5" s="7"/>
      <c r="B5" s="47"/>
      <c r="C5" s="1" t="s">
        <v>72</v>
      </c>
      <c r="D5" s="23">
        <v>62.9</v>
      </c>
      <c r="E5" s="22">
        <v>24.000000000000007</v>
      </c>
      <c r="F5" s="22">
        <v>3.3999999999999844</v>
      </c>
    </row>
    <row r="6" spans="1:6" x14ac:dyDescent="0.25">
      <c r="A6" s="7"/>
      <c r="B6" s="47" t="s">
        <v>24</v>
      </c>
      <c r="C6" s="1" t="s">
        <v>24</v>
      </c>
      <c r="D6" s="23"/>
      <c r="E6" s="22"/>
      <c r="F6" s="22"/>
    </row>
    <row r="7" spans="1:6" x14ac:dyDescent="0.25">
      <c r="A7" s="7"/>
      <c r="B7" s="33">
        <v>2015</v>
      </c>
      <c r="C7" s="1" t="s">
        <v>71</v>
      </c>
      <c r="D7" s="22">
        <v>52.5</v>
      </c>
      <c r="E7" s="22">
        <v>30.400000000000006</v>
      </c>
      <c r="F7" s="1"/>
    </row>
    <row r="8" spans="1:6" x14ac:dyDescent="0.25">
      <c r="A8" s="7"/>
      <c r="B8" s="47"/>
      <c r="C8" s="1" t="s">
        <v>72</v>
      </c>
      <c r="D8" s="22">
        <v>63.4</v>
      </c>
      <c r="E8" s="22">
        <v>22.6</v>
      </c>
      <c r="F8" s="1"/>
    </row>
    <row r="9" spans="1:6" x14ac:dyDescent="0.25">
      <c r="A9" s="7"/>
      <c r="B9" s="47" t="s">
        <v>24</v>
      </c>
      <c r="C9" s="1" t="s">
        <v>24</v>
      </c>
      <c r="D9" s="22"/>
      <c r="E9" s="22"/>
      <c r="F9" s="1"/>
    </row>
    <row r="10" spans="1:6" x14ac:dyDescent="0.25">
      <c r="A10" s="7"/>
      <c r="B10" s="47">
        <v>2016</v>
      </c>
      <c r="C10" s="1" t="s">
        <v>71</v>
      </c>
      <c r="D10" s="22">
        <v>52.3</v>
      </c>
      <c r="E10" s="1"/>
      <c r="F10" s="1"/>
    </row>
    <row r="11" spans="1:6" x14ac:dyDescent="0.25">
      <c r="A11" s="7"/>
      <c r="B11" s="47"/>
      <c r="C11" s="1" t="s">
        <v>72</v>
      </c>
      <c r="D11" s="22">
        <v>61.6</v>
      </c>
      <c r="E11" s="1"/>
      <c r="F11" s="1"/>
    </row>
    <row r="12" spans="1:6" x14ac:dyDescent="0.25">
      <c r="A12" s="10" t="s">
        <v>51</v>
      </c>
    </row>
    <row r="13" spans="1:6" x14ac:dyDescent="0.25">
      <c r="A13" s="10" t="s">
        <v>73</v>
      </c>
    </row>
    <row r="14" spans="1:6" x14ac:dyDescent="0.25">
      <c r="A14" s="7"/>
    </row>
    <row r="15" spans="1:6" x14ac:dyDescent="0.25">
      <c r="A15" s="7"/>
    </row>
    <row r="16" spans="1:6" x14ac:dyDescent="0.25">
      <c r="A16" s="7"/>
    </row>
    <row r="17" spans="1:1" x14ac:dyDescent="0.25">
      <c r="A17" s="7"/>
    </row>
    <row r="18" spans="1:1" x14ac:dyDescent="0.25">
      <c r="A18" s="7"/>
    </row>
    <row r="19" spans="1:1" x14ac:dyDescent="0.25">
      <c r="A19" s="7"/>
    </row>
    <row r="20" spans="1:1" x14ac:dyDescent="0.25">
      <c r="A20"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8" spans="1:1" x14ac:dyDescent="0.25">
      <c r="A88" s="7"/>
    </row>
    <row r="89" spans="1:1" x14ac:dyDescent="0.25">
      <c r="A89" s="7"/>
    </row>
    <row r="90" spans="1:1" x14ac:dyDescent="0.25">
      <c r="A90" s="7"/>
    </row>
    <row r="91" spans="1:1" x14ac:dyDescent="0.25">
      <c r="A91" s="7"/>
    </row>
    <row r="92" spans="1:1" x14ac:dyDescent="0.25">
      <c r="A92" s="7"/>
    </row>
    <row r="93" spans="1:1" x14ac:dyDescent="0.25">
      <c r="A93" s="7"/>
    </row>
    <row r="94" spans="1:1" x14ac:dyDescent="0.25">
      <c r="A94" s="7"/>
    </row>
    <row r="95" spans="1:1" x14ac:dyDescent="0.25">
      <c r="A95" s="7"/>
    </row>
    <row r="96" spans="1:1" x14ac:dyDescent="0.25">
      <c r="A96" s="7"/>
    </row>
    <row r="97" spans="1:6" x14ac:dyDescent="0.25">
      <c r="A97" s="7"/>
    </row>
    <row r="98" spans="1:6" x14ac:dyDescent="0.25">
      <c r="A98" s="7"/>
    </row>
    <row r="99" spans="1:6" x14ac:dyDescent="0.25">
      <c r="A99" s="7"/>
    </row>
    <row r="100" spans="1:6" x14ac:dyDescent="0.25">
      <c r="A100" s="7"/>
    </row>
    <row r="101" spans="1:6" x14ac:dyDescent="0.25">
      <c r="A101" s="7"/>
    </row>
    <row r="102" spans="1:6" x14ac:dyDescent="0.25">
      <c r="A102" s="7"/>
    </row>
    <row r="103" spans="1:6" x14ac:dyDescent="0.25">
      <c r="A103" s="7"/>
    </row>
    <row r="104" spans="1:6" x14ac:dyDescent="0.25">
      <c r="A104" s="7"/>
    </row>
    <row r="105" spans="1:6" x14ac:dyDescent="0.25">
      <c r="A105" s="7"/>
    </row>
    <row r="106" spans="1:6" x14ac:dyDescent="0.25">
      <c r="A106" s="7"/>
    </row>
    <row r="107" spans="1:6" x14ac:dyDescent="0.25">
      <c r="A107" s="7"/>
    </row>
    <row r="108" spans="1:6" x14ac:dyDescent="0.25">
      <c r="A108" s="7"/>
    </row>
    <row r="109" spans="1:6" x14ac:dyDescent="0.25">
      <c r="A109" s="77"/>
      <c r="B109" s="77"/>
      <c r="C109" s="77"/>
      <c r="D109" s="77"/>
      <c r="E109" s="77"/>
      <c r="F109" s="77"/>
    </row>
    <row r="110" spans="1:6" x14ac:dyDescent="0.25">
      <c r="A110" s="77"/>
      <c r="B110" s="77"/>
      <c r="C110" s="77"/>
      <c r="D110" s="77"/>
      <c r="E110" s="77"/>
      <c r="F110" s="77"/>
    </row>
    <row r="111" spans="1:6" x14ac:dyDescent="0.25">
      <c r="A111" s="78"/>
      <c r="B111" s="78"/>
      <c r="C111" s="78"/>
      <c r="D111" s="78"/>
      <c r="E111" s="78"/>
      <c r="F111" s="78"/>
    </row>
    <row r="112" spans="1:6" x14ac:dyDescent="0.25">
      <c r="A112" s="78"/>
      <c r="B112" s="78"/>
      <c r="C112" s="78"/>
      <c r="D112" s="78"/>
      <c r="E112" s="78"/>
      <c r="F112" s="78"/>
    </row>
    <row r="113" spans="1:6" x14ac:dyDescent="0.25">
      <c r="A113" s="78"/>
      <c r="B113" s="78"/>
      <c r="C113" s="78"/>
      <c r="D113" s="78"/>
      <c r="E113" s="78"/>
      <c r="F113" s="78"/>
    </row>
    <row r="114" spans="1:6" x14ac:dyDescent="0.25">
      <c r="A114" s="78"/>
      <c r="B114" s="78"/>
      <c r="C114" s="78"/>
      <c r="D114" s="78"/>
      <c r="E114" s="78"/>
      <c r="F114" s="78"/>
    </row>
    <row r="115" spans="1:6" x14ac:dyDescent="0.25">
      <c r="A115" s="78"/>
      <c r="B115" s="78"/>
      <c r="C115" s="78"/>
      <c r="D115" s="78"/>
      <c r="E115" s="78"/>
      <c r="F115" s="78"/>
    </row>
    <row r="116" spans="1:6" x14ac:dyDescent="0.25">
      <c r="A116" s="78"/>
      <c r="B116" s="78"/>
      <c r="C116" s="78"/>
      <c r="D116" s="78"/>
      <c r="E116" s="78"/>
      <c r="F116" s="78"/>
    </row>
    <row r="117" spans="1:6" x14ac:dyDescent="0.25">
      <c r="A117" s="78"/>
      <c r="B117" s="78"/>
      <c r="C117" s="78"/>
      <c r="D117" s="78"/>
      <c r="E117" s="78"/>
      <c r="F117" s="78"/>
    </row>
    <row r="118" spans="1:6" x14ac:dyDescent="0.25">
      <c r="A118" s="78"/>
      <c r="B118" s="78"/>
      <c r="C118" s="78"/>
      <c r="D118" s="78"/>
      <c r="E118" s="78"/>
      <c r="F118" s="78"/>
    </row>
    <row r="119" spans="1:6" x14ac:dyDescent="0.25">
      <c r="A119" s="78"/>
      <c r="B119" s="78"/>
      <c r="C119" s="78"/>
      <c r="D119" s="78"/>
      <c r="E119" s="78"/>
      <c r="F119" s="78"/>
    </row>
    <row r="120" spans="1:6" x14ac:dyDescent="0.25">
      <c r="A120" s="78"/>
      <c r="B120" s="78"/>
      <c r="C120" s="78"/>
      <c r="D120" s="78"/>
      <c r="E120" s="78"/>
      <c r="F120" s="78"/>
    </row>
  </sheetData>
  <mergeCells count="2">
    <mergeCell ref="A109:F110"/>
    <mergeCell ref="A111:F1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3"/>
  <sheetViews>
    <sheetView workbookViewId="0"/>
  </sheetViews>
  <sheetFormatPr defaultColWidth="9.140625" defaultRowHeight="15" x14ac:dyDescent="0.25"/>
  <cols>
    <col min="1" max="1" width="14.5703125" style="10" customWidth="1"/>
    <col min="2" max="2" width="14.5703125" style="4" customWidth="1"/>
    <col min="3" max="3" width="14.85546875" style="17" customWidth="1"/>
    <col min="4" max="16384" width="9.140625" style="4"/>
  </cols>
  <sheetData>
    <row r="1" spans="1:3" x14ac:dyDescent="0.25">
      <c r="A1" s="6" t="s">
        <v>74</v>
      </c>
    </row>
    <row r="2" spans="1:3" x14ac:dyDescent="0.25">
      <c r="A2" s="7"/>
      <c r="B2" s="3"/>
    </row>
    <row r="3" spans="1:3" ht="25.5" customHeight="1" x14ac:dyDescent="0.25">
      <c r="A3" s="7"/>
      <c r="B3" s="3"/>
      <c r="C3" s="21" t="s">
        <v>75</v>
      </c>
    </row>
    <row r="4" spans="1:3" ht="50.25" customHeight="1" x14ac:dyDescent="0.25">
      <c r="A4" s="16" t="s">
        <v>37</v>
      </c>
      <c r="B4" s="16" t="s">
        <v>76</v>
      </c>
      <c r="C4" s="18" t="s">
        <v>77</v>
      </c>
    </row>
    <row r="5" spans="1:3" x14ac:dyDescent="0.25">
      <c r="A5" s="6" t="s">
        <v>78</v>
      </c>
      <c r="B5" s="38">
        <v>4.17</v>
      </c>
      <c r="C5" s="38">
        <v>2.39</v>
      </c>
    </row>
    <row r="6" spans="1:3" x14ac:dyDescent="0.25">
      <c r="A6" s="34" t="s">
        <v>25</v>
      </c>
      <c r="B6" s="39">
        <v>4.07</v>
      </c>
      <c r="C6" s="38">
        <v>2.3199999999999998</v>
      </c>
    </row>
    <row r="7" spans="1:3" x14ac:dyDescent="0.25">
      <c r="A7" s="35" t="s">
        <v>26</v>
      </c>
      <c r="B7" s="39">
        <v>4.26</v>
      </c>
      <c r="C7" s="38">
        <v>2.4300000000000002</v>
      </c>
    </row>
    <row r="8" spans="1:3" x14ac:dyDescent="0.25">
      <c r="A8" s="35" t="s">
        <v>27</v>
      </c>
      <c r="B8" s="39">
        <v>4.09</v>
      </c>
      <c r="C8" s="38">
        <v>2.41</v>
      </c>
    </row>
    <row r="9" spans="1:3" x14ac:dyDescent="0.25">
      <c r="A9" s="35" t="s">
        <v>28</v>
      </c>
      <c r="B9" s="39">
        <v>4.08</v>
      </c>
      <c r="C9" s="38">
        <v>2.27</v>
      </c>
    </row>
    <row r="10" spans="1:3" x14ac:dyDescent="0.25">
      <c r="A10" s="36" t="s">
        <v>29</v>
      </c>
      <c r="B10" s="39">
        <v>4.37</v>
      </c>
      <c r="C10" s="38">
        <v>2.54</v>
      </c>
    </row>
    <row r="11" spans="1:3" x14ac:dyDescent="0.25">
      <c r="A11" s="36" t="s">
        <v>30</v>
      </c>
      <c r="B11" s="39">
        <v>4.25</v>
      </c>
      <c r="C11" s="38">
        <v>2.37</v>
      </c>
    </row>
    <row r="12" spans="1:3" x14ac:dyDescent="0.25">
      <c r="A12" s="36" t="s">
        <v>31</v>
      </c>
      <c r="B12" s="39">
        <v>4.3</v>
      </c>
      <c r="C12" s="38">
        <v>2.64</v>
      </c>
    </row>
    <row r="13" spans="1:3" x14ac:dyDescent="0.25">
      <c r="A13" s="36" t="s">
        <v>45</v>
      </c>
      <c r="B13" s="39">
        <v>4.09</v>
      </c>
      <c r="C13" s="38">
        <v>2.17</v>
      </c>
    </row>
    <row r="14" spans="1:3" x14ac:dyDescent="0.25">
      <c r="A14" s="36" t="s">
        <v>46</v>
      </c>
      <c r="B14" s="39">
        <v>4.25</v>
      </c>
      <c r="C14" s="38">
        <v>2.38</v>
      </c>
    </row>
    <row r="15" spans="1:3" x14ac:dyDescent="0.25">
      <c r="A15" s="10" t="s">
        <v>51</v>
      </c>
      <c r="B15" s="10"/>
      <c r="C15" s="10"/>
    </row>
    <row r="16" spans="1:3" ht="42" customHeight="1" x14ac:dyDescent="0.25">
      <c r="A16" s="86" t="s">
        <v>79</v>
      </c>
      <c r="B16" s="86"/>
      <c r="C16" s="86"/>
    </row>
    <row r="17" spans="1:1" x14ac:dyDescent="0.25">
      <c r="A17" s="7"/>
    </row>
    <row r="18" spans="1:1" x14ac:dyDescent="0.25">
      <c r="A18" s="7"/>
    </row>
    <row r="19" spans="1:1" x14ac:dyDescent="0.25">
      <c r="A19" s="7"/>
    </row>
    <row r="20" spans="1:1" x14ac:dyDescent="0.25">
      <c r="A20" s="7"/>
    </row>
    <row r="21" spans="1:1" x14ac:dyDescent="0.25">
      <c r="A21"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2" x14ac:dyDescent="0.25">
      <c r="A81" s="7"/>
    </row>
    <row r="82" spans="1:2" x14ac:dyDescent="0.25">
      <c r="A82" s="77"/>
      <c r="B82" s="77"/>
    </row>
    <row r="83" spans="1:2" x14ac:dyDescent="0.25">
      <c r="A83" s="77"/>
      <c r="B83" s="77"/>
    </row>
    <row r="84" spans="1:2" x14ac:dyDescent="0.25">
      <c r="A84" s="78"/>
      <c r="B84" s="78"/>
    </row>
    <row r="85" spans="1:2" x14ac:dyDescent="0.25">
      <c r="A85" s="78"/>
      <c r="B85" s="78"/>
    </row>
    <row r="86" spans="1:2" x14ac:dyDescent="0.25">
      <c r="A86" s="78"/>
      <c r="B86" s="78"/>
    </row>
    <row r="87" spans="1:2" x14ac:dyDescent="0.25">
      <c r="A87" s="78"/>
      <c r="B87" s="78"/>
    </row>
    <row r="88" spans="1:2" x14ac:dyDescent="0.25">
      <c r="A88" s="78"/>
      <c r="B88" s="78"/>
    </row>
    <row r="89" spans="1:2" x14ac:dyDescent="0.25">
      <c r="A89" s="78"/>
      <c r="B89" s="78"/>
    </row>
    <row r="90" spans="1:2" x14ac:dyDescent="0.25">
      <c r="A90" s="78"/>
      <c r="B90" s="78"/>
    </row>
    <row r="91" spans="1:2" x14ac:dyDescent="0.25">
      <c r="A91" s="78"/>
      <c r="B91" s="78"/>
    </row>
    <row r="92" spans="1:2" x14ac:dyDescent="0.25">
      <c r="A92" s="78"/>
      <c r="B92" s="78"/>
    </row>
    <row r="93" spans="1:2" x14ac:dyDescent="0.25">
      <c r="A93" s="78"/>
      <c r="B93" s="78"/>
    </row>
  </sheetData>
  <mergeCells count="3">
    <mergeCell ref="A82:B83"/>
    <mergeCell ref="A84:B93"/>
    <mergeCell ref="A16:C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1"/>
  <sheetViews>
    <sheetView workbookViewId="0">
      <selection activeCell="A3" sqref="A3"/>
    </sheetView>
  </sheetViews>
  <sheetFormatPr defaultColWidth="9.140625" defaultRowHeight="15" x14ac:dyDescent="0.25"/>
  <cols>
    <col min="1" max="1" width="18.7109375" style="10" customWidth="1"/>
    <col min="2" max="2" width="22.140625" style="4" customWidth="1"/>
    <col min="3" max="10" width="8.140625" style="4" customWidth="1"/>
    <col min="11" max="16384" width="9.140625" style="4"/>
  </cols>
  <sheetData>
    <row r="1" spans="1:10" x14ac:dyDescent="0.25">
      <c r="A1" s="6" t="s">
        <v>203</v>
      </c>
    </row>
    <row r="2" spans="1:10" x14ac:dyDescent="0.25">
      <c r="A2" s="7"/>
      <c r="B2" s="3"/>
      <c r="C2" s="3"/>
      <c r="D2" s="3"/>
      <c r="E2" s="3"/>
      <c r="F2" s="3"/>
      <c r="G2" s="3"/>
      <c r="H2" s="3"/>
    </row>
    <row r="3" spans="1:10" x14ac:dyDescent="0.25">
      <c r="A3" s="1" t="s">
        <v>83</v>
      </c>
      <c r="B3" s="1" t="s">
        <v>76</v>
      </c>
      <c r="C3" s="1" t="s">
        <v>204</v>
      </c>
      <c r="D3" s="5"/>
      <c r="E3" s="5"/>
      <c r="F3" s="5"/>
      <c r="G3" s="5"/>
      <c r="H3" s="5"/>
    </row>
    <row r="4" spans="1:10" x14ac:dyDescent="0.25">
      <c r="A4" s="1">
        <v>1996</v>
      </c>
      <c r="B4" s="71">
        <v>0.91600000000000004</v>
      </c>
      <c r="C4" s="71">
        <v>0.89200000000000002</v>
      </c>
      <c r="D4" s="46"/>
      <c r="E4" s="46"/>
      <c r="F4" s="46"/>
      <c r="G4" s="46"/>
      <c r="H4" s="46"/>
      <c r="I4" s="46"/>
      <c r="J4" s="46"/>
    </row>
    <row r="5" spans="1:10" x14ac:dyDescent="0.25">
      <c r="A5" s="1">
        <v>1997</v>
      </c>
      <c r="B5" s="71">
        <v>0.91900000000000004</v>
      </c>
      <c r="C5" s="71">
        <v>0.89700000000000002</v>
      </c>
      <c r="D5" s="5"/>
      <c r="E5" s="5"/>
      <c r="F5" s="5"/>
      <c r="G5" s="5"/>
      <c r="H5" s="5"/>
    </row>
    <row r="6" spans="1:10" x14ac:dyDescent="0.25">
      <c r="A6" s="1">
        <v>1998</v>
      </c>
      <c r="B6" s="71">
        <v>0.92200000000000004</v>
      </c>
      <c r="C6" s="71">
        <v>0.91400000000000003</v>
      </c>
      <c r="D6" s="5"/>
      <c r="E6" s="5"/>
      <c r="F6" s="5"/>
      <c r="G6" s="5"/>
      <c r="H6" s="5"/>
    </row>
    <row r="7" spans="1:10" x14ac:dyDescent="0.25">
      <c r="A7" s="1">
        <v>1999</v>
      </c>
      <c r="B7" s="71">
        <v>0.92200000000000004</v>
      </c>
      <c r="C7" s="71">
        <v>0.91100000000000003</v>
      </c>
      <c r="D7" s="5"/>
      <c r="E7" s="5"/>
      <c r="F7" s="5"/>
      <c r="G7" s="5"/>
      <c r="H7" s="5"/>
    </row>
    <row r="8" spans="1:10" x14ac:dyDescent="0.25">
      <c r="A8" s="1">
        <v>2000</v>
      </c>
      <c r="B8" s="71">
        <v>0.91</v>
      </c>
      <c r="C8" s="71">
        <v>0.90800000000000003</v>
      </c>
      <c r="D8" s="5"/>
      <c r="E8" s="5"/>
      <c r="F8" s="5"/>
      <c r="G8" s="5"/>
      <c r="H8" s="5"/>
    </row>
    <row r="9" spans="1:10" x14ac:dyDescent="0.25">
      <c r="A9" s="1">
        <v>2001</v>
      </c>
      <c r="B9" s="71">
        <v>0.91100000000000003</v>
      </c>
      <c r="C9" s="71">
        <v>0.91300000000000003</v>
      </c>
      <c r="D9" s="5"/>
      <c r="E9" s="5"/>
      <c r="F9" s="5"/>
      <c r="G9" s="5"/>
      <c r="H9" s="5"/>
    </row>
    <row r="10" spans="1:10" x14ac:dyDescent="0.25">
      <c r="A10" s="1">
        <v>2002</v>
      </c>
      <c r="B10" s="71">
        <v>0.91100000000000003</v>
      </c>
      <c r="C10" s="71">
        <v>0.91300000000000003</v>
      </c>
      <c r="D10" s="5"/>
      <c r="E10" s="5"/>
      <c r="F10" s="5"/>
      <c r="G10" s="5"/>
      <c r="H10" s="5"/>
    </row>
    <row r="11" spans="1:10" x14ac:dyDescent="0.25">
      <c r="A11" s="1">
        <v>2003</v>
      </c>
      <c r="B11" s="71">
        <v>0.91300000000000003</v>
      </c>
      <c r="C11" s="71">
        <v>0.92</v>
      </c>
      <c r="D11" s="5"/>
      <c r="E11" s="5"/>
      <c r="F11" s="5"/>
      <c r="G11" s="5"/>
      <c r="H11" s="5"/>
    </row>
    <row r="12" spans="1:10" x14ac:dyDescent="0.25">
      <c r="A12" s="1">
        <v>2004</v>
      </c>
      <c r="B12" s="71">
        <v>0.92</v>
      </c>
      <c r="C12" s="71">
        <v>0.92100000000000004</v>
      </c>
      <c r="D12" s="5"/>
      <c r="E12" s="5"/>
      <c r="F12" s="5"/>
      <c r="G12" s="5"/>
      <c r="H12" s="5"/>
    </row>
    <row r="13" spans="1:10" x14ac:dyDescent="0.25">
      <c r="A13" s="1">
        <v>2005</v>
      </c>
      <c r="B13" s="71">
        <v>0.91900000000000004</v>
      </c>
      <c r="C13" s="71">
        <v>0.92100000000000004</v>
      </c>
      <c r="D13" s="5"/>
      <c r="E13" s="5"/>
      <c r="F13" s="5"/>
      <c r="G13" s="5"/>
      <c r="H13" s="5"/>
    </row>
    <row r="14" spans="1:10" x14ac:dyDescent="0.25">
      <c r="A14" s="1">
        <v>2006</v>
      </c>
      <c r="B14" s="71">
        <v>0.92100000000000004</v>
      </c>
      <c r="C14" s="71">
        <v>0.92300000000000004</v>
      </c>
      <c r="D14" s="5"/>
      <c r="E14" s="5"/>
      <c r="F14" s="5"/>
      <c r="G14" s="5"/>
      <c r="H14" s="5"/>
    </row>
    <row r="15" spans="1:10" x14ac:dyDescent="0.25">
      <c r="A15" s="1">
        <v>2007</v>
      </c>
      <c r="B15" s="71">
        <v>0.91700000000000004</v>
      </c>
      <c r="C15" s="71">
        <v>0.91900000000000004</v>
      </c>
      <c r="D15" s="5"/>
      <c r="E15" s="5"/>
      <c r="F15" s="5"/>
      <c r="G15" s="5"/>
      <c r="H15" s="5"/>
    </row>
    <row r="16" spans="1:10" x14ac:dyDescent="0.25">
      <c r="A16" s="1">
        <v>2008</v>
      </c>
      <c r="B16" s="71">
        <v>0.92400000000000004</v>
      </c>
      <c r="C16" s="71">
        <v>0.92600000000000005</v>
      </c>
      <c r="D16" s="5"/>
      <c r="E16" s="5"/>
      <c r="F16" s="5"/>
      <c r="G16" s="5"/>
      <c r="H16" s="5"/>
    </row>
    <row r="17" spans="1:8" x14ac:dyDescent="0.25">
      <c r="A17" s="1">
        <v>2009</v>
      </c>
      <c r="B17" s="71">
        <v>0.92800000000000005</v>
      </c>
      <c r="C17" s="71">
        <v>0.92500000000000004</v>
      </c>
      <c r="D17" s="5"/>
      <c r="E17" s="5"/>
      <c r="F17" s="5"/>
      <c r="G17" s="5"/>
      <c r="H17" s="5"/>
    </row>
    <row r="18" spans="1:8" x14ac:dyDescent="0.25">
      <c r="A18" s="1">
        <v>2010</v>
      </c>
      <c r="B18" s="71">
        <v>0.92800000000000005</v>
      </c>
      <c r="C18" s="71">
        <v>0.93</v>
      </c>
      <c r="D18" s="5"/>
      <c r="E18" s="5"/>
      <c r="F18" s="5"/>
      <c r="G18" s="5"/>
      <c r="H18" s="5"/>
    </row>
    <row r="19" spans="1:8" x14ac:dyDescent="0.25">
      <c r="A19" s="1">
        <v>2011</v>
      </c>
      <c r="B19" s="71">
        <v>0.92400000000000004</v>
      </c>
      <c r="C19" s="71">
        <v>0.93200000000000005</v>
      </c>
      <c r="D19" s="5"/>
      <c r="E19" s="5"/>
      <c r="F19" s="5"/>
      <c r="G19" s="5"/>
      <c r="H19" s="5"/>
    </row>
    <row r="20" spans="1:8" x14ac:dyDescent="0.25">
      <c r="A20" s="1">
        <v>2012</v>
      </c>
      <c r="B20" s="71">
        <v>0.92500000000000004</v>
      </c>
      <c r="C20" s="71">
        <v>0.93600000000000005</v>
      </c>
      <c r="D20" s="5"/>
      <c r="E20" s="5"/>
      <c r="F20" s="5"/>
      <c r="G20" s="5"/>
      <c r="H20" s="5"/>
    </row>
    <row r="21" spans="1:8" x14ac:dyDescent="0.25">
      <c r="A21" s="1">
        <v>2013</v>
      </c>
      <c r="B21" s="71">
        <v>0.92700000000000005</v>
      </c>
      <c r="C21" s="71">
        <v>0.93700000000000006</v>
      </c>
      <c r="D21" s="5"/>
      <c r="E21" s="5"/>
      <c r="F21" s="5"/>
      <c r="G21" s="5"/>
      <c r="H21" s="5"/>
    </row>
    <row r="22" spans="1:8" x14ac:dyDescent="0.25">
      <c r="A22" s="1">
        <v>2014</v>
      </c>
      <c r="B22" s="71">
        <v>0.92900000000000005</v>
      </c>
      <c r="C22" s="71">
        <v>0.93600000000000005</v>
      </c>
      <c r="D22" s="5"/>
      <c r="E22" s="5"/>
      <c r="F22" s="5"/>
      <c r="G22" s="5"/>
      <c r="H22" s="5"/>
    </row>
    <row r="23" spans="1:8" x14ac:dyDescent="0.25">
      <c r="A23" s="1">
        <v>2015</v>
      </c>
      <c r="B23" s="71">
        <v>0.93400000000000005</v>
      </c>
      <c r="C23" s="71">
        <v>0.93300000000000005</v>
      </c>
      <c r="D23" s="5"/>
      <c r="E23" s="5"/>
      <c r="F23" s="5"/>
      <c r="G23" s="5"/>
      <c r="H23" s="5"/>
    </row>
    <row r="24" spans="1:8" x14ac:dyDescent="0.25">
      <c r="A24" s="1">
        <v>2016</v>
      </c>
      <c r="B24" s="71">
        <v>0.92900000000000005</v>
      </c>
      <c r="C24" s="71">
        <v>0.93100000000000005</v>
      </c>
      <c r="D24" s="5"/>
      <c r="E24" s="5"/>
      <c r="F24" s="5"/>
      <c r="G24" s="5"/>
      <c r="H24" s="5"/>
    </row>
    <row r="25" spans="1:8" x14ac:dyDescent="0.25">
      <c r="A25" s="1">
        <v>2017</v>
      </c>
      <c r="B25" s="71">
        <v>0.92500000000000004</v>
      </c>
      <c r="C25" s="71">
        <v>0.92900000000000005</v>
      </c>
      <c r="D25" s="5"/>
      <c r="E25" s="5"/>
      <c r="F25" s="5"/>
      <c r="G25" s="5"/>
      <c r="H25" s="5"/>
    </row>
    <row r="26" spans="1:8" x14ac:dyDescent="0.25">
      <c r="A26" s="7"/>
      <c r="C26" s="5"/>
      <c r="D26" s="5"/>
      <c r="E26" s="5"/>
      <c r="F26" s="5"/>
      <c r="G26" s="5"/>
      <c r="H26" s="5"/>
    </row>
    <row r="27" spans="1:8" x14ac:dyDescent="0.25">
      <c r="A27" s="7"/>
      <c r="C27" s="5"/>
      <c r="D27" s="5"/>
      <c r="E27" s="5"/>
      <c r="F27" s="5"/>
      <c r="G27" s="5"/>
      <c r="H27" s="5"/>
    </row>
    <row r="28" spans="1:8" x14ac:dyDescent="0.25">
      <c r="A28" s="7"/>
      <c r="C28" s="5"/>
      <c r="D28" s="5"/>
      <c r="E28" s="5"/>
      <c r="F28" s="5"/>
      <c r="G28" s="5"/>
      <c r="H28" s="5"/>
    </row>
    <row r="29" spans="1:8" x14ac:dyDescent="0.25">
      <c r="A29" s="7"/>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7"/>
      <c r="C32" s="5"/>
      <c r="D32" s="5"/>
      <c r="E32" s="5"/>
      <c r="F32" s="5"/>
      <c r="G32" s="5"/>
      <c r="H32" s="5"/>
    </row>
    <row r="33" spans="1:8" x14ac:dyDescent="0.25">
      <c r="A33" s="7"/>
      <c r="C33" s="5"/>
      <c r="D33" s="5"/>
      <c r="E33" s="5"/>
      <c r="F33" s="5"/>
      <c r="G33" s="5"/>
      <c r="H33" s="5"/>
    </row>
    <row r="34" spans="1:8" x14ac:dyDescent="0.25">
      <c r="C34" s="5"/>
      <c r="D34" s="5"/>
      <c r="E34" s="5"/>
      <c r="F34" s="5"/>
      <c r="G34" s="5"/>
      <c r="H34" s="5"/>
    </row>
    <row r="35" spans="1:8" x14ac:dyDescent="0.25">
      <c r="A35" s="7"/>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A42" s="7"/>
      <c r="C42" s="5"/>
      <c r="D42" s="5"/>
      <c r="E42" s="5"/>
      <c r="F42" s="5"/>
      <c r="G42" s="5"/>
      <c r="H42" s="5"/>
    </row>
    <row r="43" spans="1:8" x14ac:dyDescent="0.25">
      <c r="A43" s="7"/>
      <c r="C43" s="5"/>
      <c r="D43" s="5"/>
      <c r="E43" s="5"/>
      <c r="F43" s="5"/>
      <c r="G43" s="5"/>
      <c r="H43" s="5"/>
    </row>
    <row r="44" spans="1:8" x14ac:dyDescent="0.25">
      <c r="A44" s="7"/>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C56" s="5"/>
      <c r="D56" s="5"/>
      <c r="E56" s="5"/>
      <c r="F56" s="5"/>
      <c r="G56" s="5"/>
      <c r="H56" s="5"/>
    </row>
    <row r="57" spans="1:8" x14ac:dyDescent="0.25">
      <c r="A57" s="7"/>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A64" s="7"/>
      <c r="C64" s="5"/>
      <c r="D64" s="5"/>
      <c r="E64" s="5"/>
      <c r="F64" s="5"/>
      <c r="G64" s="5"/>
      <c r="H64" s="5"/>
    </row>
    <row r="65" spans="1:8" x14ac:dyDescent="0.25">
      <c r="A65" s="7"/>
      <c r="C65" s="5"/>
      <c r="D65" s="5"/>
      <c r="E65" s="5"/>
      <c r="F65" s="5"/>
      <c r="G65" s="5"/>
      <c r="H65" s="5"/>
    </row>
    <row r="66" spans="1:8" x14ac:dyDescent="0.25">
      <c r="A66" s="7"/>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C78" s="5"/>
      <c r="D78" s="5"/>
      <c r="E78" s="5"/>
      <c r="F78" s="5"/>
      <c r="G78" s="5"/>
      <c r="H78" s="5"/>
    </row>
    <row r="79" spans="1:8" x14ac:dyDescent="0.25">
      <c r="A79" s="7"/>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A86" s="7"/>
      <c r="C86" s="5"/>
      <c r="D86" s="5"/>
      <c r="E86" s="5"/>
      <c r="F86" s="5"/>
      <c r="G86" s="5"/>
      <c r="H86" s="5"/>
    </row>
    <row r="87" spans="1:8" x14ac:dyDescent="0.25">
      <c r="A87" s="7"/>
      <c r="C87" s="5"/>
      <c r="D87" s="5"/>
      <c r="E87" s="5"/>
      <c r="F87" s="5"/>
      <c r="G87" s="5"/>
      <c r="H87" s="5"/>
    </row>
    <row r="88" spans="1:8" x14ac:dyDescent="0.25">
      <c r="A88" s="7"/>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C100" s="5"/>
      <c r="D100" s="5"/>
      <c r="E100" s="5"/>
      <c r="F100" s="5"/>
      <c r="G100" s="5"/>
      <c r="H100" s="5"/>
    </row>
    <row r="101" spans="1:8" x14ac:dyDescent="0.25">
      <c r="A101" s="7"/>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A108" s="7"/>
      <c r="C108" s="5"/>
      <c r="D108" s="5"/>
      <c r="E108" s="5"/>
      <c r="F108" s="5"/>
      <c r="G108" s="5"/>
      <c r="H108" s="5"/>
    </row>
    <row r="109" spans="1:8" x14ac:dyDescent="0.25">
      <c r="A109" s="7"/>
      <c r="C109" s="5"/>
      <c r="D109" s="5"/>
      <c r="E109" s="5"/>
      <c r="F109" s="5"/>
      <c r="G109" s="5"/>
      <c r="H109" s="5"/>
    </row>
    <row r="110" spans="1:8" x14ac:dyDescent="0.25">
      <c r="A110" s="7"/>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C122" s="5"/>
      <c r="D122" s="5"/>
      <c r="E122" s="5"/>
      <c r="F122" s="5"/>
      <c r="G122" s="5"/>
      <c r="H122" s="5"/>
    </row>
    <row r="123" spans="1:8" x14ac:dyDescent="0.25">
      <c r="A123" s="7"/>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A130" s="7"/>
      <c r="C130" s="5"/>
      <c r="D130" s="5"/>
      <c r="E130" s="5"/>
      <c r="F130" s="5"/>
      <c r="G130" s="5"/>
      <c r="H130" s="5"/>
    </row>
    <row r="131" spans="1:8" x14ac:dyDescent="0.25">
      <c r="A131" s="7"/>
      <c r="C131" s="5"/>
      <c r="D131" s="5"/>
      <c r="E131" s="5"/>
      <c r="F131" s="5"/>
      <c r="G131" s="5"/>
      <c r="H131" s="5"/>
    </row>
    <row r="132" spans="1:8" x14ac:dyDescent="0.25">
      <c r="A132" s="7"/>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C144" s="5"/>
      <c r="D144" s="5"/>
      <c r="E144" s="5"/>
      <c r="F144" s="5"/>
      <c r="G144" s="5"/>
      <c r="H144" s="5"/>
    </row>
    <row r="145" spans="1:8" x14ac:dyDescent="0.25">
      <c r="A145" s="7"/>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A152" s="7"/>
      <c r="C152" s="5"/>
      <c r="D152" s="5"/>
      <c r="E152" s="5"/>
      <c r="F152" s="5"/>
      <c r="G152" s="5"/>
      <c r="H152" s="5"/>
    </row>
    <row r="153" spans="1:8" x14ac:dyDescent="0.25">
      <c r="A153" s="7"/>
      <c r="C153" s="5"/>
      <c r="D153" s="5"/>
      <c r="E153" s="5"/>
      <c r="F153" s="5"/>
      <c r="G153" s="5"/>
      <c r="H153" s="5"/>
    </row>
    <row r="154" spans="1:8" x14ac:dyDescent="0.25">
      <c r="A154" s="7"/>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C166" s="5"/>
      <c r="D166" s="5"/>
      <c r="E166" s="5"/>
      <c r="F166" s="5"/>
      <c r="G166" s="5"/>
      <c r="H166" s="5"/>
    </row>
    <row r="167" spans="1:8" x14ac:dyDescent="0.25">
      <c r="A167" s="7"/>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A174" s="7"/>
      <c r="C174" s="5"/>
      <c r="D174" s="5"/>
      <c r="E174" s="5"/>
      <c r="F174" s="5"/>
      <c r="G174" s="5"/>
      <c r="H174" s="5"/>
    </row>
    <row r="175" spans="1:8" x14ac:dyDescent="0.25">
      <c r="A175" s="7"/>
      <c r="C175" s="5"/>
      <c r="D175" s="5"/>
      <c r="E175" s="5"/>
      <c r="F175" s="5"/>
      <c r="G175" s="5"/>
      <c r="H175" s="5"/>
    </row>
    <row r="176" spans="1:8" x14ac:dyDescent="0.25">
      <c r="A176" s="7"/>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C188" s="5"/>
      <c r="D188" s="5"/>
      <c r="E188" s="5"/>
      <c r="F188" s="5"/>
      <c r="G188" s="5"/>
      <c r="H188" s="5"/>
    </row>
    <row r="189" spans="1:8" x14ac:dyDescent="0.25">
      <c r="A189" s="7"/>
      <c r="C189" s="5"/>
      <c r="D189" s="5"/>
      <c r="E189" s="5"/>
      <c r="F189" s="5"/>
      <c r="G189" s="5"/>
      <c r="H189" s="5"/>
    </row>
    <row r="190" spans="1:8" x14ac:dyDescent="0.25">
      <c r="A190" s="7"/>
      <c r="C190" s="5"/>
      <c r="D190" s="5"/>
      <c r="E190" s="5"/>
      <c r="F190" s="5"/>
      <c r="G190" s="5"/>
      <c r="H190" s="5"/>
    </row>
    <row r="191" spans="1:8" x14ac:dyDescent="0.25">
      <c r="A191" s="7"/>
      <c r="C191" s="5"/>
      <c r="D191" s="5"/>
      <c r="E191" s="5"/>
      <c r="F191" s="5"/>
      <c r="G191" s="5"/>
      <c r="H191" s="5"/>
    </row>
    <row r="192" spans="1:8" x14ac:dyDescent="0.25">
      <c r="A192" s="7"/>
      <c r="C192" s="5"/>
      <c r="D192" s="5"/>
      <c r="E192" s="5"/>
      <c r="F192" s="5"/>
      <c r="G192" s="5"/>
      <c r="H192" s="5"/>
    </row>
    <row r="193" spans="1:8" x14ac:dyDescent="0.25">
      <c r="A193" s="7"/>
      <c r="C193" s="5"/>
      <c r="D193" s="5"/>
      <c r="E193" s="5"/>
      <c r="F193" s="5"/>
      <c r="G193" s="5"/>
      <c r="H193" s="5"/>
    </row>
    <row r="194" spans="1:8" x14ac:dyDescent="0.25">
      <c r="A194" s="7"/>
      <c r="C194" s="5"/>
      <c r="D194" s="5"/>
      <c r="E194" s="5"/>
      <c r="F194" s="5"/>
      <c r="G194" s="5"/>
      <c r="H194" s="5"/>
    </row>
    <row r="195" spans="1:8" x14ac:dyDescent="0.25">
      <c r="A195" s="7"/>
    </row>
    <row r="196" spans="1:8" x14ac:dyDescent="0.25">
      <c r="A196" s="7"/>
      <c r="C196" s="44"/>
      <c r="D196" s="44"/>
      <c r="E196" s="44"/>
      <c r="F196" s="44"/>
      <c r="G196" s="44"/>
      <c r="H196" s="44"/>
    </row>
    <row r="197" spans="1:8" x14ac:dyDescent="0.25">
      <c r="A197" s="7"/>
      <c r="C197" s="44"/>
      <c r="D197" s="44"/>
      <c r="E197" s="44"/>
      <c r="F197" s="44"/>
      <c r="G197" s="44"/>
      <c r="H197" s="44"/>
    </row>
    <row r="198" spans="1:8" x14ac:dyDescent="0.25">
      <c r="A198" s="7"/>
      <c r="C198" s="45"/>
      <c r="D198" s="45"/>
      <c r="E198" s="45"/>
      <c r="F198" s="45"/>
      <c r="G198" s="45"/>
      <c r="H198" s="45"/>
    </row>
    <row r="199" spans="1:8" x14ac:dyDescent="0.25">
      <c r="A199" s="7"/>
      <c r="C199" s="45"/>
      <c r="D199" s="45"/>
      <c r="E199" s="45"/>
      <c r="F199" s="45"/>
      <c r="G199" s="45"/>
      <c r="H199" s="45"/>
    </row>
    <row r="200" spans="1:8" x14ac:dyDescent="0.25">
      <c r="A200" s="7"/>
      <c r="C200" s="45"/>
      <c r="D200" s="45"/>
      <c r="E200" s="45"/>
      <c r="F200" s="45"/>
      <c r="G200" s="45"/>
      <c r="H200" s="45"/>
    </row>
    <row r="201" spans="1:8" x14ac:dyDescent="0.25">
      <c r="A201" s="7"/>
      <c r="C201" s="45"/>
      <c r="D201" s="45"/>
      <c r="E201" s="45"/>
      <c r="F201" s="45"/>
      <c r="G201" s="45"/>
      <c r="H201" s="45"/>
    </row>
    <row r="202" spans="1:8" x14ac:dyDescent="0.25">
      <c r="A202" s="7"/>
      <c r="C202" s="45"/>
      <c r="D202" s="45"/>
      <c r="E202" s="45"/>
      <c r="F202" s="45"/>
      <c r="G202" s="45"/>
      <c r="H202" s="45"/>
    </row>
    <row r="203" spans="1:8" x14ac:dyDescent="0.25">
      <c r="A203" s="7"/>
      <c r="C203" s="45"/>
      <c r="D203" s="45"/>
      <c r="E203" s="45"/>
      <c r="F203" s="45"/>
      <c r="G203" s="45"/>
      <c r="H203" s="45"/>
    </row>
    <row r="204" spans="1:8" x14ac:dyDescent="0.25">
      <c r="A204" s="7"/>
      <c r="C204" s="45"/>
      <c r="D204" s="45"/>
      <c r="E204" s="45"/>
      <c r="F204" s="45"/>
      <c r="G204" s="45"/>
      <c r="H204" s="45"/>
    </row>
    <row r="205" spans="1:8" x14ac:dyDescent="0.25">
      <c r="A205" s="7"/>
      <c r="C205" s="45"/>
      <c r="D205" s="45"/>
      <c r="E205" s="45"/>
      <c r="F205" s="45"/>
      <c r="G205" s="45"/>
      <c r="H205" s="45"/>
    </row>
    <row r="206" spans="1:8" x14ac:dyDescent="0.25">
      <c r="A206" s="7"/>
      <c r="C206" s="45"/>
      <c r="D206" s="45"/>
      <c r="E206" s="45"/>
      <c r="F206" s="45"/>
      <c r="G206" s="45"/>
      <c r="H206" s="45"/>
    </row>
    <row r="207" spans="1:8" x14ac:dyDescent="0.25">
      <c r="A207" s="7"/>
      <c r="C207" s="45"/>
      <c r="D207" s="45"/>
      <c r="E207" s="45"/>
      <c r="F207" s="45"/>
      <c r="G207" s="45"/>
      <c r="H207" s="45"/>
    </row>
    <row r="208" spans="1:8" x14ac:dyDescent="0.25">
      <c r="A208" s="7"/>
    </row>
    <row r="209" spans="1:2" x14ac:dyDescent="0.25">
      <c r="A209" s="7"/>
    </row>
    <row r="210" spans="1:2" x14ac:dyDescent="0.25">
      <c r="A210" s="44"/>
      <c r="B210" s="44"/>
    </row>
    <row r="211" spans="1:2" x14ac:dyDescent="0.25">
      <c r="A211" s="44"/>
      <c r="B211" s="44"/>
    </row>
    <row r="212" spans="1:2" x14ac:dyDescent="0.25">
      <c r="A212" s="45"/>
      <c r="B212" s="45"/>
    </row>
    <row r="213" spans="1:2" x14ac:dyDescent="0.25">
      <c r="A213" s="45"/>
      <c r="B213" s="45"/>
    </row>
    <row r="214" spans="1:2" x14ac:dyDescent="0.25">
      <c r="A214" s="45"/>
      <c r="B214" s="45"/>
    </row>
    <row r="215" spans="1:2" x14ac:dyDescent="0.25">
      <c r="A215" s="45"/>
      <c r="B215" s="45"/>
    </row>
    <row r="216" spans="1:2" x14ac:dyDescent="0.25">
      <c r="A216" s="45"/>
      <c r="B216" s="45"/>
    </row>
    <row r="217" spans="1:2" x14ac:dyDescent="0.25">
      <c r="A217" s="45"/>
      <c r="B217" s="45"/>
    </row>
    <row r="218" spans="1:2" x14ac:dyDescent="0.25">
      <c r="A218" s="45"/>
      <c r="B218" s="45"/>
    </row>
    <row r="219" spans="1:2" x14ac:dyDescent="0.25">
      <c r="A219" s="45"/>
      <c r="B219" s="45"/>
    </row>
    <row r="220" spans="1:2" x14ac:dyDescent="0.25">
      <c r="A220" s="45"/>
      <c r="B220" s="45"/>
    </row>
    <row r="221" spans="1:2" x14ac:dyDescent="0.25">
      <c r="A221" s="45"/>
      <c r="B221"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1"/>
  <sheetViews>
    <sheetView workbookViewId="0">
      <selection activeCell="A2" sqref="A2"/>
    </sheetView>
  </sheetViews>
  <sheetFormatPr defaultColWidth="9.140625" defaultRowHeight="15" x14ac:dyDescent="0.25"/>
  <cols>
    <col min="1" max="1" width="19.140625" style="10" customWidth="1"/>
    <col min="2" max="2" width="16.5703125" style="4" customWidth="1"/>
    <col min="3" max="10" width="7" style="4" customWidth="1"/>
    <col min="11" max="16384" width="9.140625" style="4"/>
  </cols>
  <sheetData>
    <row r="1" spans="1:8" x14ac:dyDescent="0.25">
      <c r="A1" s="6" t="s">
        <v>205</v>
      </c>
    </row>
    <row r="2" spans="1:8" x14ac:dyDescent="0.25">
      <c r="A2" s="7"/>
      <c r="B2" s="3"/>
      <c r="C2" s="3"/>
      <c r="D2" s="3"/>
      <c r="E2" s="3"/>
      <c r="F2" s="3"/>
      <c r="G2" s="3"/>
      <c r="H2" s="3"/>
    </row>
    <row r="3" spans="1:8" x14ac:dyDescent="0.25">
      <c r="A3" s="1"/>
      <c r="B3" s="37" t="s">
        <v>176</v>
      </c>
    </row>
    <row r="4" spans="1:8" x14ac:dyDescent="0.25">
      <c r="A4" s="6" t="s">
        <v>80</v>
      </c>
      <c r="B4" s="65">
        <v>0.96457000000000004</v>
      </c>
    </row>
    <row r="5" spans="1:8" ht="15.75" thickBot="1" x14ac:dyDescent="0.3">
      <c r="A5" s="6" t="s">
        <v>81</v>
      </c>
      <c r="B5" s="66">
        <v>0.91783999999999999</v>
      </c>
    </row>
    <row r="6" spans="1:8" x14ac:dyDescent="0.25">
      <c r="A6" s="6" t="s">
        <v>78</v>
      </c>
      <c r="B6" s="65">
        <v>0.93057999999999996</v>
      </c>
    </row>
    <row r="7" spans="1:8" x14ac:dyDescent="0.25">
      <c r="A7" s="34" t="s">
        <v>25</v>
      </c>
      <c r="B7" s="65">
        <v>0.97257000000000005</v>
      </c>
    </row>
    <row r="8" spans="1:8" x14ac:dyDescent="0.25">
      <c r="A8" s="35" t="s">
        <v>26</v>
      </c>
      <c r="B8" s="65">
        <v>0.92779999999999996</v>
      </c>
    </row>
    <row r="9" spans="1:8" x14ac:dyDescent="0.25">
      <c r="A9" s="35" t="s">
        <v>27</v>
      </c>
      <c r="B9" s="65">
        <v>0.94006000000000001</v>
      </c>
    </row>
    <row r="10" spans="1:8" x14ac:dyDescent="0.25">
      <c r="A10" s="35" t="s">
        <v>28</v>
      </c>
      <c r="B10" s="65">
        <v>0.96603000000000006</v>
      </c>
    </row>
    <row r="11" spans="1:8" x14ac:dyDescent="0.25">
      <c r="A11" s="36" t="s">
        <v>29</v>
      </c>
      <c r="B11" s="65">
        <v>0.80530000000000002</v>
      </c>
    </row>
    <row r="12" spans="1:8" x14ac:dyDescent="0.25">
      <c r="A12" s="36" t="s">
        <v>30</v>
      </c>
      <c r="B12" s="65">
        <v>0.88868000000000003</v>
      </c>
    </row>
    <row r="13" spans="1:8" x14ac:dyDescent="0.25">
      <c r="A13" s="36" t="s">
        <v>31</v>
      </c>
      <c r="B13" s="65">
        <v>0.94330000000000003</v>
      </c>
    </row>
    <row r="14" spans="1:8" x14ac:dyDescent="0.25">
      <c r="A14" s="36" t="s">
        <v>45</v>
      </c>
      <c r="B14" s="65">
        <v>0.92532999999999999</v>
      </c>
    </row>
    <row r="15" spans="1:8" x14ac:dyDescent="0.25">
      <c r="A15" s="36" t="s">
        <v>46</v>
      </c>
      <c r="B15" s="65">
        <v>0.90556999999999999</v>
      </c>
      <c r="C15" s="5"/>
      <c r="D15" s="5"/>
      <c r="E15" s="5"/>
      <c r="F15" s="5"/>
      <c r="G15" s="5"/>
      <c r="H15" s="5"/>
    </row>
    <row r="16" spans="1:8" x14ac:dyDescent="0.25">
      <c r="A16" s="7"/>
      <c r="C16" s="5"/>
      <c r="D16" s="5"/>
      <c r="E16" s="5"/>
      <c r="F16" s="5"/>
      <c r="G16" s="5"/>
      <c r="H16" s="5"/>
    </row>
    <row r="17" spans="1:8" x14ac:dyDescent="0.25">
      <c r="A17" s="7"/>
      <c r="C17" s="5"/>
      <c r="D17" s="5"/>
      <c r="E17" s="5"/>
      <c r="F17" s="5"/>
      <c r="G17" s="5"/>
      <c r="H17" s="5"/>
    </row>
    <row r="18" spans="1:8" x14ac:dyDescent="0.25">
      <c r="A18" s="1"/>
      <c r="B18" s="37" t="s">
        <v>82</v>
      </c>
      <c r="C18" s="5"/>
      <c r="D18" s="5"/>
      <c r="E18" s="5"/>
      <c r="F18" s="5"/>
      <c r="G18" s="5"/>
      <c r="H18" s="5"/>
    </row>
    <row r="19" spans="1:8" x14ac:dyDescent="0.25">
      <c r="A19" s="6" t="s">
        <v>78</v>
      </c>
      <c r="B19" s="27">
        <v>0.92900000000000005</v>
      </c>
      <c r="C19" s="5"/>
      <c r="D19" s="5"/>
      <c r="E19" s="5"/>
      <c r="F19" s="5"/>
      <c r="G19" s="5"/>
      <c r="H19" s="5"/>
    </row>
    <row r="20" spans="1:8" x14ac:dyDescent="0.25">
      <c r="A20" s="34" t="s">
        <v>25</v>
      </c>
      <c r="B20" s="27">
        <v>0.94599999999999995</v>
      </c>
      <c r="C20" s="5"/>
      <c r="D20" s="5"/>
      <c r="E20" s="5"/>
      <c r="F20" s="5"/>
      <c r="G20" s="5"/>
      <c r="H20" s="5"/>
    </row>
    <row r="21" spans="1:8" x14ac:dyDescent="0.25">
      <c r="A21" s="35" t="s">
        <v>26</v>
      </c>
      <c r="B21" s="27">
        <v>0.91400000000000003</v>
      </c>
      <c r="C21" s="5"/>
      <c r="D21" s="5"/>
      <c r="E21" s="5"/>
      <c r="F21" s="5"/>
      <c r="G21" s="5"/>
      <c r="H21" s="5"/>
    </row>
    <row r="22" spans="1:8" x14ac:dyDescent="0.25">
      <c r="A22" s="35" t="s">
        <v>27</v>
      </c>
      <c r="B22" s="27">
        <v>0.93200000000000005</v>
      </c>
      <c r="C22" s="5"/>
      <c r="D22" s="5"/>
      <c r="E22" s="5"/>
      <c r="F22" s="5"/>
      <c r="G22" s="5"/>
      <c r="H22" s="5"/>
    </row>
    <row r="23" spans="1:8" x14ac:dyDescent="0.25">
      <c r="A23" s="35" t="s">
        <v>28</v>
      </c>
      <c r="B23" s="27">
        <v>0.95</v>
      </c>
      <c r="C23" s="5"/>
      <c r="D23" s="5"/>
      <c r="E23" s="5"/>
      <c r="F23" s="5"/>
      <c r="G23" s="5"/>
      <c r="H23" s="5"/>
    </row>
    <row r="24" spans="1:8" x14ac:dyDescent="0.25">
      <c r="A24" s="36" t="s">
        <v>29</v>
      </c>
      <c r="B24" s="27">
        <v>0.92300000000000004</v>
      </c>
      <c r="C24" s="5"/>
      <c r="D24" s="5"/>
      <c r="E24" s="5"/>
      <c r="F24" s="5"/>
      <c r="G24" s="5"/>
      <c r="H24" s="5"/>
    </row>
    <row r="25" spans="1:8" x14ac:dyDescent="0.25">
      <c r="A25" s="36" t="s">
        <v>30</v>
      </c>
      <c r="B25" s="27">
        <v>0.877</v>
      </c>
      <c r="C25" s="5"/>
      <c r="D25" s="5"/>
      <c r="E25" s="5"/>
      <c r="F25" s="5"/>
      <c r="G25" s="5"/>
      <c r="H25" s="5"/>
    </row>
    <row r="26" spans="1:8" x14ac:dyDescent="0.25">
      <c r="A26" s="36" t="s">
        <v>31</v>
      </c>
      <c r="B26" s="27">
        <v>0.94199999999999995</v>
      </c>
      <c r="C26" s="5"/>
      <c r="D26" s="5"/>
      <c r="E26" s="5"/>
      <c r="F26" s="5"/>
      <c r="G26" s="5"/>
      <c r="H26" s="5"/>
    </row>
    <row r="27" spans="1:8" x14ac:dyDescent="0.25">
      <c r="A27" s="36" t="s">
        <v>45</v>
      </c>
      <c r="B27" s="27">
        <v>0.90900000000000003</v>
      </c>
      <c r="C27" s="5"/>
      <c r="D27" s="5"/>
      <c r="E27" s="5"/>
      <c r="F27" s="5"/>
      <c r="G27" s="5"/>
      <c r="H27" s="5"/>
    </row>
    <row r="28" spans="1:8" x14ac:dyDescent="0.25">
      <c r="A28" s="36" t="s">
        <v>46</v>
      </c>
      <c r="B28" s="27">
        <v>0.93100000000000005</v>
      </c>
      <c r="C28" s="5"/>
      <c r="D28" s="5"/>
      <c r="E28" s="5"/>
      <c r="F28" s="5"/>
      <c r="G28" s="5"/>
      <c r="H28" s="5"/>
    </row>
    <row r="29" spans="1:8" x14ac:dyDescent="0.25">
      <c r="A29" s="7"/>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7"/>
      <c r="C32" s="5"/>
      <c r="D32" s="5"/>
      <c r="E32" s="5"/>
      <c r="F32" s="5"/>
      <c r="G32" s="5"/>
      <c r="H32" s="5"/>
    </row>
    <row r="33" spans="1:8" x14ac:dyDescent="0.25">
      <c r="A33" s="7"/>
      <c r="C33" s="5"/>
      <c r="D33" s="5"/>
      <c r="E33" s="5"/>
      <c r="F33" s="5"/>
      <c r="G33" s="5"/>
      <c r="H33" s="5"/>
    </row>
    <row r="34" spans="1:8" x14ac:dyDescent="0.25">
      <c r="A34" s="7"/>
      <c r="C34" s="5"/>
      <c r="D34" s="5"/>
      <c r="E34" s="5"/>
      <c r="F34" s="5"/>
      <c r="G34" s="5"/>
      <c r="H34" s="5"/>
    </row>
    <row r="35" spans="1:8" x14ac:dyDescent="0.25">
      <c r="A35" s="7"/>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A42" s="7"/>
      <c r="C42" s="5"/>
      <c r="D42" s="5"/>
      <c r="E42" s="5"/>
      <c r="F42" s="5"/>
      <c r="G42" s="5"/>
      <c r="H42" s="5"/>
    </row>
    <row r="43" spans="1:8" x14ac:dyDescent="0.25">
      <c r="A43" s="7"/>
      <c r="C43" s="5"/>
      <c r="D43" s="5"/>
      <c r="E43" s="5"/>
      <c r="F43" s="5"/>
      <c r="G43" s="5"/>
      <c r="H43" s="5"/>
    </row>
    <row r="44" spans="1:8" x14ac:dyDescent="0.25">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A56" s="7"/>
      <c r="C56" s="5"/>
      <c r="D56" s="5"/>
      <c r="E56" s="5"/>
      <c r="F56" s="5"/>
      <c r="G56" s="5"/>
      <c r="H56" s="5"/>
    </row>
    <row r="57" spans="1:8" x14ac:dyDescent="0.25">
      <c r="A57" s="7"/>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A64" s="7"/>
      <c r="C64" s="5"/>
      <c r="D64" s="5"/>
      <c r="E64" s="5"/>
      <c r="F64" s="5"/>
      <c r="G64" s="5"/>
      <c r="H64" s="5"/>
    </row>
    <row r="65" spans="1:8" x14ac:dyDescent="0.25">
      <c r="A65" s="7"/>
      <c r="C65" s="5"/>
      <c r="D65" s="5"/>
      <c r="E65" s="5"/>
      <c r="F65" s="5"/>
      <c r="G65" s="5"/>
      <c r="H65" s="5"/>
    </row>
    <row r="66" spans="1:8" x14ac:dyDescent="0.25">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A78" s="7"/>
      <c r="C78" s="5"/>
      <c r="D78" s="5"/>
      <c r="E78" s="5"/>
      <c r="F78" s="5"/>
      <c r="G78" s="5"/>
      <c r="H78" s="5"/>
    </row>
    <row r="79" spans="1:8" x14ac:dyDescent="0.25">
      <c r="A79" s="7"/>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A86" s="7"/>
      <c r="C86" s="5"/>
      <c r="D86" s="5"/>
      <c r="E86" s="5"/>
      <c r="F86" s="5"/>
      <c r="G86" s="5"/>
      <c r="H86" s="5"/>
    </row>
    <row r="87" spans="1:8" x14ac:dyDescent="0.25">
      <c r="A87" s="7"/>
      <c r="C87" s="5"/>
      <c r="D87" s="5"/>
      <c r="E87" s="5"/>
      <c r="F87" s="5"/>
      <c r="G87" s="5"/>
      <c r="H87" s="5"/>
    </row>
    <row r="88" spans="1:8" x14ac:dyDescent="0.25">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A100" s="7"/>
      <c r="C100" s="5"/>
      <c r="D100" s="5"/>
      <c r="E100" s="5"/>
      <c r="F100" s="5"/>
      <c r="G100" s="5"/>
      <c r="H100" s="5"/>
    </row>
    <row r="101" spans="1:8" x14ac:dyDescent="0.25">
      <c r="A101" s="7"/>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A108" s="7"/>
      <c r="C108" s="5"/>
      <c r="D108" s="5"/>
      <c r="E108" s="5"/>
      <c r="F108" s="5"/>
      <c r="G108" s="5"/>
      <c r="H108" s="5"/>
    </row>
    <row r="109" spans="1:8" x14ac:dyDescent="0.25">
      <c r="A109" s="7"/>
      <c r="C109" s="5"/>
      <c r="D109" s="5"/>
      <c r="E109" s="5"/>
      <c r="F109" s="5"/>
      <c r="G109" s="5"/>
      <c r="H109" s="5"/>
    </row>
    <row r="110" spans="1:8" x14ac:dyDescent="0.25">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A122" s="7"/>
      <c r="C122" s="5"/>
      <c r="D122" s="5"/>
      <c r="E122" s="5"/>
      <c r="F122" s="5"/>
      <c r="G122" s="5"/>
      <c r="H122" s="5"/>
    </row>
    <row r="123" spans="1:8" x14ac:dyDescent="0.25">
      <c r="A123" s="7"/>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A130" s="7"/>
      <c r="C130" s="5"/>
      <c r="D130" s="5"/>
      <c r="E130" s="5"/>
      <c r="F130" s="5"/>
      <c r="G130" s="5"/>
      <c r="H130" s="5"/>
    </row>
    <row r="131" spans="1:8" x14ac:dyDescent="0.25">
      <c r="A131" s="7"/>
      <c r="C131" s="5"/>
      <c r="D131" s="5"/>
      <c r="E131" s="5"/>
      <c r="F131" s="5"/>
      <c r="G131" s="5"/>
      <c r="H131" s="5"/>
    </row>
    <row r="132" spans="1:8" x14ac:dyDescent="0.25">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A144" s="7"/>
      <c r="C144" s="5"/>
      <c r="D144" s="5"/>
      <c r="E144" s="5"/>
      <c r="F144" s="5"/>
      <c r="G144" s="5"/>
      <c r="H144" s="5"/>
    </row>
    <row r="145" spans="1:8" x14ac:dyDescent="0.25">
      <c r="A145" s="7"/>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A152" s="7"/>
      <c r="C152" s="5"/>
      <c r="D152" s="5"/>
      <c r="E152" s="5"/>
      <c r="F152" s="5"/>
      <c r="G152" s="5"/>
      <c r="H152" s="5"/>
    </row>
    <row r="153" spans="1:8" x14ac:dyDescent="0.25">
      <c r="A153" s="7"/>
      <c r="C153" s="5"/>
      <c r="D153" s="5"/>
      <c r="E153" s="5"/>
      <c r="F153" s="5"/>
      <c r="G153" s="5"/>
      <c r="H153" s="5"/>
    </row>
    <row r="154" spans="1:8" x14ac:dyDescent="0.25">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A166" s="7"/>
      <c r="C166" s="5"/>
      <c r="D166" s="5"/>
      <c r="E166" s="5"/>
      <c r="F166" s="5"/>
      <c r="G166" s="5"/>
      <c r="H166" s="5"/>
    </row>
    <row r="167" spans="1:8" x14ac:dyDescent="0.25">
      <c r="A167" s="7"/>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A174" s="7"/>
      <c r="C174" s="5"/>
      <c r="D174" s="5"/>
      <c r="E174" s="5"/>
      <c r="F174" s="5"/>
      <c r="G174" s="5"/>
      <c r="H174" s="5"/>
    </row>
    <row r="175" spans="1:8" x14ac:dyDescent="0.25">
      <c r="A175" s="7"/>
      <c r="C175" s="5"/>
      <c r="D175" s="5"/>
      <c r="E175" s="5"/>
      <c r="F175" s="5"/>
      <c r="G175" s="5"/>
      <c r="H175" s="5"/>
    </row>
    <row r="176" spans="1:8" x14ac:dyDescent="0.25">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A188" s="7"/>
      <c r="C188" s="5"/>
      <c r="D188" s="5"/>
      <c r="E188" s="5"/>
      <c r="F188" s="5"/>
      <c r="G188" s="5"/>
      <c r="H188" s="5"/>
    </row>
    <row r="189" spans="1:8" x14ac:dyDescent="0.25">
      <c r="A189" s="7"/>
      <c r="C189" s="5"/>
      <c r="D189" s="5"/>
      <c r="E189" s="5"/>
      <c r="F189" s="5"/>
      <c r="G189" s="5"/>
      <c r="H189" s="5"/>
    </row>
    <row r="190" spans="1:8" x14ac:dyDescent="0.25">
      <c r="A190" s="7"/>
      <c r="C190" s="5"/>
      <c r="D190" s="5"/>
      <c r="E190" s="5"/>
      <c r="F190" s="5"/>
      <c r="G190" s="5"/>
      <c r="H190" s="5"/>
    </row>
    <row r="191" spans="1:8" x14ac:dyDescent="0.25">
      <c r="A191" s="7"/>
      <c r="C191" s="5"/>
      <c r="D191" s="5"/>
      <c r="E191" s="5"/>
      <c r="F191" s="5"/>
      <c r="G191" s="5"/>
      <c r="H191" s="5"/>
    </row>
    <row r="192" spans="1:8" x14ac:dyDescent="0.25">
      <c r="A192" s="7"/>
      <c r="C192" s="5"/>
      <c r="D192" s="5"/>
      <c r="E192" s="5"/>
      <c r="F192" s="5"/>
      <c r="G192" s="5"/>
      <c r="H192" s="5"/>
    </row>
    <row r="193" spans="1:8" x14ac:dyDescent="0.25">
      <c r="A193" s="7"/>
      <c r="C193" s="5"/>
      <c r="D193" s="5"/>
      <c r="E193" s="5"/>
      <c r="F193" s="5"/>
      <c r="G193" s="5"/>
      <c r="H193" s="5"/>
    </row>
    <row r="194" spans="1:8" x14ac:dyDescent="0.25">
      <c r="A194" s="7"/>
      <c r="C194" s="5"/>
      <c r="D194" s="5"/>
      <c r="E194" s="5"/>
      <c r="F194" s="5"/>
      <c r="G194" s="5"/>
      <c r="H194" s="5"/>
    </row>
    <row r="195" spans="1:8" x14ac:dyDescent="0.25">
      <c r="A195" s="7"/>
      <c r="C195" s="5"/>
      <c r="D195" s="5"/>
      <c r="E195" s="5"/>
      <c r="F195" s="5"/>
      <c r="G195" s="5"/>
      <c r="H195" s="5"/>
    </row>
    <row r="196" spans="1:8" x14ac:dyDescent="0.25">
      <c r="A196" s="7"/>
      <c r="C196" s="5"/>
      <c r="D196" s="5"/>
      <c r="E196" s="5"/>
      <c r="F196" s="5"/>
      <c r="G196" s="5"/>
      <c r="H196" s="5"/>
    </row>
    <row r="197" spans="1:8" x14ac:dyDescent="0.25">
      <c r="A197" s="7"/>
      <c r="C197" s="5"/>
      <c r="D197" s="5"/>
      <c r="E197" s="5"/>
      <c r="F197" s="5"/>
      <c r="G197" s="5"/>
      <c r="H197" s="5"/>
    </row>
    <row r="198" spans="1:8" x14ac:dyDescent="0.25">
      <c r="C198" s="5"/>
      <c r="D198" s="5"/>
      <c r="E198" s="5"/>
      <c r="F198" s="5"/>
      <c r="G198" s="5"/>
      <c r="H198" s="5"/>
    </row>
    <row r="199" spans="1:8" x14ac:dyDescent="0.25">
      <c r="A199" s="7"/>
      <c r="C199" s="5"/>
      <c r="D199" s="5"/>
      <c r="E199" s="5"/>
      <c r="F199" s="5"/>
      <c r="G199" s="5"/>
      <c r="H199" s="5"/>
    </row>
    <row r="200" spans="1:8" x14ac:dyDescent="0.25">
      <c r="A200" s="7"/>
      <c r="C200" s="5"/>
      <c r="D200" s="5"/>
      <c r="E200" s="5"/>
      <c r="F200" s="5"/>
      <c r="G200" s="5"/>
      <c r="H200" s="5"/>
    </row>
    <row r="201" spans="1:8" x14ac:dyDescent="0.25">
      <c r="A201" s="7"/>
      <c r="C201" s="5"/>
      <c r="D201" s="5"/>
      <c r="E201" s="5"/>
      <c r="F201" s="5"/>
      <c r="G201" s="5"/>
      <c r="H201" s="5"/>
    </row>
    <row r="202" spans="1:8" x14ac:dyDescent="0.25">
      <c r="A202" s="7"/>
      <c r="C202" s="5"/>
      <c r="D202" s="5"/>
      <c r="E202" s="5"/>
      <c r="F202" s="5"/>
      <c r="G202" s="5"/>
      <c r="H202" s="5"/>
    </row>
    <row r="203" spans="1:8" x14ac:dyDescent="0.25">
      <c r="A203" s="7"/>
      <c r="C203" s="5"/>
      <c r="D203" s="5"/>
      <c r="E203" s="5"/>
      <c r="F203" s="5"/>
      <c r="G203" s="5"/>
      <c r="H203" s="5"/>
    </row>
    <row r="204" spans="1:8" x14ac:dyDescent="0.25">
      <c r="A204" s="7"/>
      <c r="C204" s="5"/>
      <c r="D204" s="5"/>
      <c r="E204" s="5"/>
      <c r="F204" s="5"/>
      <c r="G204" s="5"/>
      <c r="H204" s="5"/>
    </row>
    <row r="205" spans="1:8" x14ac:dyDescent="0.25">
      <c r="A205" s="7"/>
      <c r="C205" s="5"/>
      <c r="D205" s="5"/>
      <c r="E205" s="5"/>
      <c r="F205" s="5"/>
      <c r="G205" s="5"/>
      <c r="H205" s="5"/>
    </row>
    <row r="206" spans="1:8" x14ac:dyDescent="0.25">
      <c r="A206" s="7"/>
      <c r="C206" s="5"/>
      <c r="D206" s="5"/>
      <c r="E206" s="5"/>
      <c r="F206" s="5"/>
      <c r="G206" s="5"/>
      <c r="H206" s="5"/>
    </row>
    <row r="207" spans="1:8" x14ac:dyDescent="0.25">
      <c r="A207" s="7"/>
      <c r="C207" s="5"/>
      <c r="D207" s="5"/>
      <c r="E207" s="5"/>
      <c r="F207" s="5"/>
      <c r="G207" s="5"/>
      <c r="H207" s="5"/>
    </row>
    <row r="208" spans="1:8" x14ac:dyDescent="0.25">
      <c r="A208" s="7"/>
      <c r="C208" s="5"/>
      <c r="D208" s="5"/>
      <c r="E208" s="5"/>
      <c r="F208" s="5"/>
      <c r="G208" s="5"/>
      <c r="H208" s="5"/>
    </row>
    <row r="209" spans="1:8" x14ac:dyDescent="0.25">
      <c r="A209" s="7"/>
      <c r="C209" s="5"/>
      <c r="D209" s="5"/>
      <c r="E209" s="5"/>
      <c r="F209" s="5"/>
      <c r="G209" s="5"/>
      <c r="H209" s="5"/>
    </row>
    <row r="210" spans="1:8" x14ac:dyDescent="0.25">
      <c r="A210" s="7"/>
      <c r="C210" s="5"/>
      <c r="D210" s="5"/>
      <c r="E210" s="5"/>
      <c r="F210" s="5"/>
      <c r="G210" s="5"/>
      <c r="H210" s="5"/>
    </row>
    <row r="211" spans="1:8" x14ac:dyDescent="0.25">
      <c r="A211" s="7"/>
      <c r="C211" s="5"/>
      <c r="D211" s="5"/>
      <c r="E211" s="5"/>
      <c r="F211" s="5"/>
      <c r="G211" s="5"/>
      <c r="H211" s="5"/>
    </row>
    <row r="212" spans="1:8" x14ac:dyDescent="0.25">
      <c r="A212" s="7"/>
      <c r="C212" s="5"/>
      <c r="D212" s="5"/>
      <c r="E212" s="5"/>
      <c r="F212" s="5"/>
      <c r="G212" s="5"/>
      <c r="H212" s="5"/>
    </row>
    <row r="213" spans="1:8" x14ac:dyDescent="0.25">
      <c r="A213" s="7"/>
      <c r="C213" s="5"/>
      <c r="D213" s="5"/>
      <c r="E213" s="5"/>
      <c r="F213" s="5"/>
      <c r="G213" s="5"/>
      <c r="H213" s="5"/>
    </row>
    <row r="214" spans="1:8" x14ac:dyDescent="0.25">
      <c r="A214" s="7"/>
      <c r="C214" s="5"/>
      <c r="D214" s="5"/>
      <c r="E214" s="5"/>
      <c r="F214" s="5"/>
      <c r="G214" s="5"/>
      <c r="H214" s="5"/>
    </row>
    <row r="215" spans="1:8" x14ac:dyDescent="0.25">
      <c r="A215" s="7"/>
      <c r="C215" s="5"/>
      <c r="D215" s="5"/>
      <c r="E215" s="5"/>
      <c r="F215" s="5"/>
      <c r="G215" s="5"/>
      <c r="H215" s="5"/>
    </row>
    <row r="216" spans="1:8" x14ac:dyDescent="0.25">
      <c r="A216" s="7"/>
      <c r="C216" s="5"/>
      <c r="D216" s="5"/>
      <c r="E216" s="5"/>
      <c r="F216" s="5"/>
      <c r="G216" s="5"/>
      <c r="H216" s="5"/>
    </row>
    <row r="217" spans="1:8" x14ac:dyDescent="0.25">
      <c r="A217" s="7"/>
      <c r="C217" s="5"/>
      <c r="D217" s="5"/>
      <c r="E217" s="5"/>
      <c r="F217" s="5"/>
      <c r="G217" s="5"/>
      <c r="H217" s="5"/>
    </row>
    <row r="218" spans="1:8" x14ac:dyDescent="0.25">
      <c r="A218" s="7"/>
      <c r="C218" s="5"/>
      <c r="D218" s="5"/>
      <c r="E218" s="5"/>
      <c r="F218" s="5"/>
      <c r="G218" s="5"/>
      <c r="H218" s="5"/>
    </row>
    <row r="219" spans="1:8" x14ac:dyDescent="0.25">
      <c r="A219" s="7"/>
    </row>
    <row r="220" spans="1:8" x14ac:dyDescent="0.25">
      <c r="A220" s="77"/>
      <c r="B220" s="77"/>
      <c r="C220" s="77"/>
      <c r="D220" s="77"/>
      <c r="E220" s="77"/>
      <c r="F220" s="77"/>
      <c r="G220" s="77"/>
      <c r="H220" s="77"/>
    </row>
    <row r="221" spans="1:8" x14ac:dyDescent="0.25">
      <c r="A221" s="77"/>
      <c r="B221" s="77"/>
      <c r="C221" s="77"/>
      <c r="D221" s="77"/>
      <c r="E221" s="77"/>
      <c r="F221" s="77"/>
      <c r="G221" s="77"/>
      <c r="H221" s="77"/>
    </row>
    <row r="222" spans="1:8" x14ac:dyDescent="0.25">
      <c r="A222" s="78"/>
      <c r="B222" s="78"/>
      <c r="C222" s="78"/>
      <c r="D222" s="78"/>
      <c r="E222" s="78"/>
      <c r="F222" s="78"/>
      <c r="G222" s="78"/>
      <c r="H222" s="78"/>
    </row>
    <row r="223" spans="1:8" x14ac:dyDescent="0.25">
      <c r="A223" s="78"/>
      <c r="B223" s="78"/>
      <c r="C223" s="78"/>
      <c r="D223" s="78"/>
      <c r="E223" s="78"/>
      <c r="F223" s="78"/>
      <c r="G223" s="78"/>
      <c r="H223" s="78"/>
    </row>
    <row r="224" spans="1:8" x14ac:dyDescent="0.25">
      <c r="A224" s="78"/>
      <c r="B224" s="78"/>
      <c r="C224" s="78"/>
      <c r="D224" s="78"/>
      <c r="E224" s="78"/>
      <c r="F224" s="78"/>
      <c r="G224" s="78"/>
      <c r="H224" s="78"/>
    </row>
    <row r="225" spans="1:8" x14ac:dyDescent="0.25">
      <c r="A225" s="78"/>
      <c r="B225" s="78"/>
      <c r="C225" s="78"/>
      <c r="D225" s="78"/>
      <c r="E225" s="78"/>
      <c r="F225" s="78"/>
      <c r="G225" s="78"/>
      <c r="H225" s="78"/>
    </row>
    <row r="226" spans="1:8" x14ac:dyDescent="0.25">
      <c r="A226" s="78"/>
      <c r="B226" s="78"/>
      <c r="C226" s="78"/>
      <c r="D226" s="78"/>
      <c r="E226" s="78"/>
      <c r="F226" s="78"/>
      <c r="G226" s="78"/>
      <c r="H226" s="78"/>
    </row>
    <row r="227" spans="1:8" x14ac:dyDescent="0.25">
      <c r="A227" s="78"/>
      <c r="B227" s="78"/>
      <c r="C227" s="78"/>
      <c r="D227" s="78"/>
      <c r="E227" s="78"/>
      <c r="F227" s="78"/>
      <c r="G227" s="78"/>
      <c r="H227" s="78"/>
    </row>
    <row r="228" spans="1:8" x14ac:dyDescent="0.25">
      <c r="A228" s="78"/>
      <c r="B228" s="78"/>
      <c r="C228" s="78"/>
      <c r="D228" s="78"/>
      <c r="E228" s="78"/>
      <c r="F228" s="78"/>
      <c r="G228" s="78"/>
      <c r="H228" s="78"/>
    </row>
    <row r="229" spans="1:8" x14ac:dyDescent="0.25">
      <c r="A229" s="78"/>
      <c r="B229" s="78"/>
      <c r="C229" s="78"/>
      <c r="D229" s="78"/>
      <c r="E229" s="78"/>
      <c r="F229" s="78"/>
      <c r="G229" s="78"/>
      <c r="H229" s="78"/>
    </row>
    <row r="230" spans="1:8" x14ac:dyDescent="0.25">
      <c r="A230" s="78"/>
      <c r="B230" s="78"/>
      <c r="C230" s="78"/>
      <c r="D230" s="78"/>
      <c r="E230" s="78"/>
      <c r="F230" s="78"/>
      <c r="G230" s="78"/>
      <c r="H230" s="78"/>
    </row>
    <row r="231" spans="1:8" x14ac:dyDescent="0.25">
      <c r="A231" s="78"/>
      <c r="B231" s="78"/>
      <c r="C231" s="78"/>
      <c r="D231" s="78"/>
      <c r="E231" s="78"/>
      <c r="F231" s="78"/>
      <c r="G231" s="78"/>
      <c r="H231" s="78"/>
    </row>
  </sheetData>
  <mergeCells count="2">
    <mergeCell ref="A220:H221"/>
    <mergeCell ref="A222:H2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2"/>
  <sheetViews>
    <sheetView workbookViewId="0"/>
  </sheetViews>
  <sheetFormatPr defaultColWidth="9.140625" defaultRowHeight="15" x14ac:dyDescent="0.25"/>
  <cols>
    <col min="1" max="1" width="11.42578125" style="67" customWidth="1"/>
    <col min="2" max="2" width="23" style="67" customWidth="1"/>
    <col min="3" max="3" width="33.28515625" style="67" customWidth="1"/>
    <col min="4" max="9" width="11.5703125" style="67" customWidth="1"/>
    <col min="10" max="16384" width="9.140625" style="19"/>
  </cols>
  <sheetData>
    <row r="1" spans="1:10" x14ac:dyDescent="0.25">
      <c r="A1" s="6" t="s">
        <v>14</v>
      </c>
      <c r="B1" s="19"/>
      <c r="C1" s="19"/>
      <c r="D1" s="19"/>
      <c r="E1" s="19"/>
      <c r="F1" s="19"/>
      <c r="G1" s="19"/>
      <c r="H1" s="19"/>
      <c r="I1" s="19"/>
    </row>
    <row r="2" spans="1:10" ht="14.25" x14ac:dyDescent="0.2">
      <c r="A2" s="3"/>
      <c r="B2" s="3"/>
      <c r="C2" s="3"/>
      <c r="D2" s="3"/>
      <c r="E2" s="3"/>
      <c r="F2" s="3"/>
      <c r="G2" s="3"/>
      <c r="H2" s="19"/>
      <c r="I2" s="19"/>
    </row>
    <row r="3" spans="1:10" ht="30.75" customHeight="1" x14ac:dyDescent="0.2">
      <c r="A3" s="69"/>
      <c r="B3" s="69"/>
      <c r="C3" s="69"/>
      <c r="D3" s="91" t="s">
        <v>84</v>
      </c>
      <c r="E3" s="91" t="s">
        <v>85</v>
      </c>
      <c r="F3" s="91" t="s">
        <v>86</v>
      </c>
      <c r="G3" s="91" t="s">
        <v>87</v>
      </c>
      <c r="H3" s="91" t="s">
        <v>88</v>
      </c>
      <c r="I3" s="91" t="s">
        <v>89</v>
      </c>
      <c r="J3" s="92" t="s">
        <v>90</v>
      </c>
    </row>
    <row r="4" spans="1:10" ht="14.25" x14ac:dyDescent="0.2">
      <c r="A4" s="69" t="s">
        <v>91</v>
      </c>
      <c r="B4" s="69" t="s">
        <v>92</v>
      </c>
      <c r="C4" s="69" t="s">
        <v>180</v>
      </c>
      <c r="D4" s="69">
        <v>7768</v>
      </c>
      <c r="E4" s="69">
        <v>13122</v>
      </c>
      <c r="F4" s="69">
        <v>3260</v>
      </c>
      <c r="G4" s="69">
        <v>6428</v>
      </c>
      <c r="H4" s="69">
        <v>1848</v>
      </c>
      <c r="I4" s="69">
        <v>4125</v>
      </c>
      <c r="J4" s="70">
        <v>5473</v>
      </c>
    </row>
    <row r="5" spans="1:10" ht="14.25" x14ac:dyDescent="0.2">
      <c r="A5" s="69" t="s">
        <v>177</v>
      </c>
      <c r="B5" s="69" t="s">
        <v>178</v>
      </c>
      <c r="C5" s="69" t="s">
        <v>181</v>
      </c>
      <c r="D5" s="69">
        <v>7842</v>
      </c>
      <c r="E5" s="69">
        <v>11456</v>
      </c>
      <c r="F5" s="69">
        <v>5650</v>
      </c>
      <c r="G5" s="69">
        <v>10332</v>
      </c>
      <c r="H5" s="69">
        <v>3558</v>
      </c>
      <c r="I5" s="69">
        <v>5876</v>
      </c>
      <c r="J5" s="70">
        <v>8683</v>
      </c>
    </row>
    <row r="6" spans="1:10" ht="14.25" x14ac:dyDescent="0.2">
      <c r="A6" s="69"/>
      <c r="B6" s="69"/>
      <c r="C6" s="69"/>
      <c r="D6" s="69"/>
      <c r="E6" s="69"/>
      <c r="F6" s="69"/>
      <c r="G6" s="69"/>
      <c r="H6" s="69"/>
      <c r="I6" s="69"/>
      <c r="J6" s="70"/>
    </row>
    <row r="7" spans="1:10" ht="14.25" x14ac:dyDescent="0.2">
      <c r="A7" s="69" t="s">
        <v>91</v>
      </c>
      <c r="B7" s="69" t="s">
        <v>93</v>
      </c>
      <c r="C7" s="69" t="s">
        <v>182</v>
      </c>
      <c r="D7" s="69">
        <v>17941</v>
      </c>
      <c r="E7" s="69">
        <v>33058</v>
      </c>
      <c r="F7" s="69">
        <v>12510</v>
      </c>
      <c r="G7" s="69">
        <v>19093</v>
      </c>
      <c r="H7" s="69">
        <v>4080</v>
      </c>
      <c r="I7" s="69">
        <v>21422</v>
      </c>
      <c r="J7" s="70">
        <v>33440</v>
      </c>
    </row>
    <row r="8" spans="1:10" ht="14.25" x14ac:dyDescent="0.2">
      <c r="A8" s="69" t="s">
        <v>177</v>
      </c>
      <c r="B8" s="69" t="s">
        <v>93</v>
      </c>
      <c r="C8" s="69" t="s">
        <v>183</v>
      </c>
      <c r="D8" s="69">
        <v>17246</v>
      </c>
      <c r="E8" s="69">
        <v>30224</v>
      </c>
      <c r="F8" s="69">
        <v>25035</v>
      </c>
      <c r="G8" s="69">
        <v>36204</v>
      </c>
      <c r="H8" s="69">
        <v>8741</v>
      </c>
      <c r="I8" s="69">
        <v>28304</v>
      </c>
      <c r="J8" s="70">
        <v>47980</v>
      </c>
    </row>
    <row r="9" spans="1:10" ht="14.25" x14ac:dyDescent="0.2">
      <c r="A9" s="69"/>
      <c r="B9" s="69"/>
      <c r="C9" s="69"/>
      <c r="D9" s="69"/>
      <c r="E9" s="69"/>
      <c r="F9" s="69"/>
      <c r="G9" s="69"/>
      <c r="H9" s="69"/>
      <c r="I9" s="69"/>
      <c r="J9" s="70"/>
    </row>
    <row r="10" spans="1:10" ht="14.25" x14ac:dyDescent="0.2">
      <c r="A10" s="69" t="s">
        <v>91</v>
      </c>
      <c r="B10" s="69" t="s">
        <v>78</v>
      </c>
      <c r="C10" s="69" t="s">
        <v>184</v>
      </c>
      <c r="D10" s="69">
        <v>5523</v>
      </c>
      <c r="E10" s="69">
        <v>12323</v>
      </c>
      <c r="F10" s="69">
        <v>5231</v>
      </c>
      <c r="G10" s="69">
        <v>3387</v>
      </c>
      <c r="H10" s="69">
        <v>1338</v>
      </c>
      <c r="I10" s="69">
        <v>1939</v>
      </c>
      <c r="J10" s="70">
        <v>3233</v>
      </c>
    </row>
    <row r="11" spans="1:10" ht="14.25" x14ac:dyDescent="0.2">
      <c r="A11" s="69" t="s">
        <v>177</v>
      </c>
      <c r="B11" s="69" t="s">
        <v>78</v>
      </c>
      <c r="C11" s="69" t="s">
        <v>185</v>
      </c>
      <c r="D11" s="69">
        <v>6390</v>
      </c>
      <c r="E11" s="69">
        <v>15838</v>
      </c>
      <c r="F11" s="69">
        <v>9748</v>
      </c>
      <c r="G11" s="69">
        <v>8087</v>
      </c>
      <c r="H11" s="69">
        <v>3651</v>
      </c>
      <c r="I11" s="69">
        <v>3467</v>
      </c>
      <c r="J11" s="70">
        <v>6536</v>
      </c>
    </row>
    <row r="12" spans="1:10" ht="14.25" x14ac:dyDescent="0.2">
      <c r="A12" s="69"/>
      <c r="B12" s="69"/>
      <c r="C12" s="69"/>
      <c r="D12" s="69"/>
      <c r="E12" s="69"/>
      <c r="F12" s="69"/>
      <c r="G12" s="69"/>
      <c r="H12" s="69"/>
      <c r="I12" s="69"/>
      <c r="J12" s="70"/>
    </row>
    <row r="13" spans="1:10" ht="14.25" x14ac:dyDescent="0.2">
      <c r="A13" s="69"/>
      <c r="B13" s="69"/>
      <c r="C13" s="69"/>
      <c r="D13" s="69"/>
      <c r="E13" s="69"/>
      <c r="F13" s="69"/>
      <c r="G13" s="69"/>
      <c r="H13" s="69"/>
      <c r="I13" s="69"/>
      <c r="J13" s="70"/>
    </row>
    <row r="14" spans="1:10" ht="14.25" x14ac:dyDescent="0.2">
      <c r="A14" s="69" t="s">
        <v>91</v>
      </c>
      <c r="B14" s="69" t="s">
        <v>25</v>
      </c>
      <c r="C14" s="69" t="s">
        <v>186</v>
      </c>
      <c r="D14" s="69">
        <v>874</v>
      </c>
      <c r="E14" s="69">
        <v>1924</v>
      </c>
      <c r="F14" s="69">
        <v>866</v>
      </c>
      <c r="G14" s="69">
        <v>867</v>
      </c>
      <c r="H14" s="69">
        <v>251</v>
      </c>
      <c r="I14" s="69">
        <v>239</v>
      </c>
      <c r="J14" s="70">
        <v>777</v>
      </c>
    </row>
    <row r="15" spans="1:10" ht="14.25" x14ac:dyDescent="0.2">
      <c r="A15" s="69" t="s">
        <v>177</v>
      </c>
      <c r="B15" s="69" t="s">
        <v>25</v>
      </c>
      <c r="C15" s="69" t="s">
        <v>187</v>
      </c>
      <c r="D15" s="69">
        <v>877</v>
      </c>
      <c r="E15" s="69">
        <v>1983</v>
      </c>
      <c r="F15" s="69">
        <v>1181</v>
      </c>
      <c r="G15" s="69">
        <v>1418</v>
      </c>
      <c r="H15" s="69">
        <v>656</v>
      </c>
      <c r="I15" s="69">
        <v>388</v>
      </c>
      <c r="J15" s="70">
        <v>1403</v>
      </c>
    </row>
    <row r="16" spans="1:10" ht="14.25" x14ac:dyDescent="0.2">
      <c r="A16" s="69"/>
      <c r="B16" s="69"/>
      <c r="C16" s="69"/>
      <c r="D16" s="69"/>
      <c r="E16" s="69"/>
      <c r="F16" s="69"/>
      <c r="G16" s="69"/>
      <c r="H16" s="69"/>
      <c r="I16" s="69"/>
      <c r="J16" s="70"/>
    </row>
    <row r="17" spans="1:10" ht="14.25" x14ac:dyDescent="0.2">
      <c r="A17" s="69" t="s">
        <v>91</v>
      </c>
      <c r="B17" s="69" t="s">
        <v>26</v>
      </c>
      <c r="C17" s="69" t="s">
        <v>188</v>
      </c>
      <c r="D17" s="69">
        <v>559</v>
      </c>
      <c r="E17" s="69">
        <v>1437</v>
      </c>
      <c r="F17" s="69">
        <v>1181</v>
      </c>
      <c r="G17" s="69">
        <v>577</v>
      </c>
      <c r="H17" s="69">
        <v>145</v>
      </c>
      <c r="I17" s="69"/>
      <c r="J17" s="70">
        <v>707</v>
      </c>
    </row>
    <row r="18" spans="1:10" ht="14.25" x14ac:dyDescent="0.2">
      <c r="A18" s="69" t="s">
        <v>177</v>
      </c>
      <c r="B18" s="69" t="s">
        <v>26</v>
      </c>
      <c r="C18" s="69" t="s">
        <v>189</v>
      </c>
      <c r="D18" s="69">
        <v>780</v>
      </c>
      <c r="E18" s="69">
        <v>1923</v>
      </c>
      <c r="F18" s="69">
        <v>2065</v>
      </c>
      <c r="G18" s="69">
        <v>1081</v>
      </c>
      <c r="H18" s="69">
        <v>338</v>
      </c>
      <c r="I18" s="69">
        <v>558</v>
      </c>
      <c r="J18" s="70">
        <v>1110</v>
      </c>
    </row>
    <row r="19" spans="1:10" ht="14.25" x14ac:dyDescent="0.2">
      <c r="A19" s="69"/>
      <c r="B19" s="69"/>
      <c r="C19" s="69"/>
      <c r="D19" s="69"/>
      <c r="E19" s="69"/>
      <c r="F19" s="69"/>
      <c r="G19" s="69"/>
      <c r="H19" s="69"/>
      <c r="I19" s="69"/>
      <c r="J19" s="70"/>
    </row>
    <row r="20" spans="1:10" ht="14.25" x14ac:dyDescent="0.2">
      <c r="A20" s="69" t="s">
        <v>91</v>
      </c>
      <c r="B20" s="69" t="s">
        <v>27</v>
      </c>
      <c r="C20" s="69" t="s">
        <v>190</v>
      </c>
      <c r="D20" s="69">
        <v>526</v>
      </c>
      <c r="E20" s="69">
        <v>1510</v>
      </c>
      <c r="F20" s="69">
        <v>505</v>
      </c>
      <c r="G20" s="69">
        <v>464</v>
      </c>
      <c r="H20" s="69">
        <v>156</v>
      </c>
      <c r="I20" s="69"/>
      <c r="J20" s="70">
        <v>298</v>
      </c>
    </row>
    <row r="21" spans="1:10" ht="14.25" x14ac:dyDescent="0.2">
      <c r="A21" s="69" t="s">
        <v>177</v>
      </c>
      <c r="B21" s="69" t="s">
        <v>27</v>
      </c>
      <c r="C21" s="69" t="s">
        <v>191</v>
      </c>
      <c r="D21" s="69">
        <v>611</v>
      </c>
      <c r="E21" s="69">
        <v>2114</v>
      </c>
      <c r="F21" s="69">
        <v>677</v>
      </c>
      <c r="G21" s="69">
        <v>1356</v>
      </c>
      <c r="H21" s="69">
        <v>314</v>
      </c>
      <c r="I21" s="69">
        <v>739</v>
      </c>
      <c r="J21" s="70">
        <v>1337</v>
      </c>
    </row>
    <row r="22" spans="1:10" ht="14.25" x14ac:dyDescent="0.2">
      <c r="A22" s="69"/>
      <c r="B22" s="69"/>
      <c r="C22" s="69"/>
      <c r="D22" s="69"/>
      <c r="E22" s="69"/>
      <c r="F22" s="69"/>
      <c r="G22" s="69"/>
      <c r="H22" s="69"/>
      <c r="I22" s="69"/>
      <c r="J22" s="70"/>
    </row>
    <row r="23" spans="1:10" ht="14.25" x14ac:dyDescent="0.2">
      <c r="A23" s="69" t="s">
        <v>91</v>
      </c>
      <c r="B23" s="69" t="s">
        <v>28</v>
      </c>
      <c r="C23" s="69" t="s">
        <v>192</v>
      </c>
      <c r="D23" s="69">
        <v>1177</v>
      </c>
      <c r="E23" s="69">
        <v>3002</v>
      </c>
      <c r="F23" s="69">
        <v>855</v>
      </c>
      <c r="G23" s="69">
        <v>502</v>
      </c>
      <c r="H23" s="69">
        <v>269</v>
      </c>
      <c r="I23" s="69">
        <v>299</v>
      </c>
      <c r="J23" s="70">
        <v>203</v>
      </c>
    </row>
    <row r="24" spans="1:10" ht="14.25" x14ac:dyDescent="0.2">
      <c r="A24" s="69" t="s">
        <v>177</v>
      </c>
      <c r="B24" s="69" t="s">
        <v>28</v>
      </c>
      <c r="C24" s="69" t="s">
        <v>193</v>
      </c>
      <c r="D24" s="69">
        <v>1426</v>
      </c>
      <c r="E24" s="69">
        <v>3425</v>
      </c>
      <c r="F24" s="69">
        <v>1381</v>
      </c>
      <c r="G24" s="69">
        <v>775</v>
      </c>
      <c r="H24" s="69">
        <v>751</v>
      </c>
      <c r="I24" s="69">
        <v>221</v>
      </c>
      <c r="J24" s="70">
        <v>492</v>
      </c>
    </row>
    <row r="25" spans="1:10" ht="14.25" x14ac:dyDescent="0.2">
      <c r="A25" s="69"/>
      <c r="B25" s="69"/>
      <c r="C25" s="69"/>
      <c r="D25" s="69"/>
      <c r="E25" s="69"/>
      <c r="F25" s="69"/>
      <c r="G25" s="69"/>
      <c r="H25" s="69"/>
      <c r="I25" s="69"/>
      <c r="J25" s="70"/>
    </row>
    <row r="26" spans="1:10" ht="14.25" x14ac:dyDescent="0.2">
      <c r="A26" s="69" t="s">
        <v>91</v>
      </c>
      <c r="B26" s="69" t="s">
        <v>29</v>
      </c>
      <c r="C26" s="69" t="s">
        <v>179</v>
      </c>
      <c r="D26" s="69"/>
      <c r="E26" s="69"/>
      <c r="F26" s="69"/>
      <c r="G26" s="69"/>
      <c r="H26" s="69"/>
      <c r="I26" s="69"/>
      <c r="J26" s="70"/>
    </row>
    <row r="27" spans="1:10" ht="14.25" x14ac:dyDescent="0.2">
      <c r="A27" s="69" t="s">
        <v>177</v>
      </c>
      <c r="B27" s="69" t="s">
        <v>29</v>
      </c>
      <c r="C27" s="69" t="s">
        <v>194</v>
      </c>
      <c r="D27" s="69">
        <v>50</v>
      </c>
      <c r="E27" s="69">
        <v>408</v>
      </c>
      <c r="F27" s="69">
        <v>291</v>
      </c>
      <c r="G27" s="69">
        <v>236</v>
      </c>
      <c r="H27" s="69">
        <v>72</v>
      </c>
      <c r="I27" s="69">
        <v>142</v>
      </c>
      <c r="J27" s="70">
        <v>96</v>
      </c>
    </row>
    <row r="28" spans="1:10" ht="14.25" x14ac:dyDescent="0.2">
      <c r="A28" s="69"/>
      <c r="B28" s="69"/>
      <c r="C28" s="69"/>
      <c r="D28" s="69"/>
      <c r="E28" s="69"/>
      <c r="F28" s="69"/>
      <c r="G28" s="69"/>
      <c r="H28" s="69"/>
      <c r="I28" s="69"/>
      <c r="J28" s="70"/>
    </row>
    <row r="29" spans="1:10" ht="14.25" x14ac:dyDescent="0.2">
      <c r="A29" s="69" t="s">
        <v>91</v>
      </c>
      <c r="B29" s="69" t="s">
        <v>30</v>
      </c>
      <c r="C29" s="69" t="s">
        <v>195</v>
      </c>
      <c r="D29" s="69">
        <v>373</v>
      </c>
      <c r="E29" s="69">
        <v>495</v>
      </c>
      <c r="F29" s="69">
        <v>291</v>
      </c>
      <c r="G29" s="69">
        <v>110</v>
      </c>
      <c r="H29" s="69">
        <v>68</v>
      </c>
      <c r="I29" s="69">
        <v>501</v>
      </c>
      <c r="J29" s="70">
        <v>34</v>
      </c>
    </row>
    <row r="30" spans="1:10" ht="14.25" x14ac:dyDescent="0.2">
      <c r="A30" s="69" t="s">
        <v>177</v>
      </c>
      <c r="B30" s="69" t="s">
        <v>30</v>
      </c>
      <c r="C30" s="69" t="s">
        <v>196</v>
      </c>
      <c r="D30" s="69">
        <v>784</v>
      </c>
      <c r="E30" s="69">
        <v>1434</v>
      </c>
      <c r="F30" s="69">
        <v>663</v>
      </c>
      <c r="G30" s="69">
        <v>492</v>
      </c>
      <c r="H30" s="69">
        <v>193</v>
      </c>
      <c r="I30" s="69">
        <v>802</v>
      </c>
      <c r="J30" s="70">
        <v>112</v>
      </c>
    </row>
    <row r="31" spans="1:10" ht="14.25" x14ac:dyDescent="0.2">
      <c r="A31" s="69"/>
      <c r="B31" s="69"/>
      <c r="C31" s="69"/>
      <c r="D31" s="69"/>
      <c r="E31" s="69"/>
      <c r="F31" s="69"/>
      <c r="G31" s="69"/>
      <c r="H31" s="69"/>
      <c r="I31" s="69"/>
      <c r="J31" s="70"/>
    </row>
    <row r="32" spans="1:10" ht="14.25" x14ac:dyDescent="0.2">
      <c r="A32" s="69" t="s">
        <v>91</v>
      </c>
      <c r="B32" s="69" t="s">
        <v>31</v>
      </c>
      <c r="C32" s="69" t="s">
        <v>197</v>
      </c>
      <c r="D32" s="69">
        <v>380</v>
      </c>
      <c r="E32" s="69">
        <v>1372</v>
      </c>
      <c r="F32" s="69">
        <v>841</v>
      </c>
      <c r="G32" s="69">
        <v>548</v>
      </c>
      <c r="H32" s="69">
        <v>193</v>
      </c>
      <c r="I32" s="69">
        <v>182</v>
      </c>
      <c r="J32" s="70">
        <v>253</v>
      </c>
    </row>
    <row r="33" spans="1:10" ht="14.25" x14ac:dyDescent="0.2">
      <c r="A33" s="69" t="s">
        <v>177</v>
      </c>
      <c r="B33" s="69" t="s">
        <v>31</v>
      </c>
      <c r="C33" s="69" t="s">
        <v>198</v>
      </c>
      <c r="D33" s="69">
        <v>346</v>
      </c>
      <c r="E33" s="69">
        <v>1359</v>
      </c>
      <c r="F33" s="69">
        <v>1701</v>
      </c>
      <c r="G33" s="69">
        <v>1866</v>
      </c>
      <c r="H33" s="69">
        <v>541</v>
      </c>
      <c r="I33" s="69">
        <v>301</v>
      </c>
      <c r="J33" s="70">
        <v>1093</v>
      </c>
    </row>
    <row r="34" spans="1:10" ht="14.25" x14ac:dyDescent="0.2">
      <c r="A34" s="69"/>
      <c r="B34" s="69"/>
      <c r="C34" s="69"/>
      <c r="D34" s="69"/>
      <c r="E34" s="69"/>
      <c r="F34" s="69"/>
      <c r="G34" s="69"/>
      <c r="H34" s="69"/>
      <c r="I34" s="69"/>
      <c r="J34" s="70"/>
    </row>
    <row r="35" spans="1:10" ht="14.25" x14ac:dyDescent="0.2">
      <c r="A35" s="69" t="s">
        <v>91</v>
      </c>
      <c r="B35" s="69" t="s">
        <v>45</v>
      </c>
      <c r="C35" s="69" t="s">
        <v>199</v>
      </c>
      <c r="D35" s="69">
        <v>1026</v>
      </c>
      <c r="E35" s="69">
        <v>1640</v>
      </c>
      <c r="F35" s="69">
        <v>363</v>
      </c>
      <c r="G35" s="69">
        <v>194</v>
      </c>
      <c r="H35" s="69">
        <v>137</v>
      </c>
      <c r="I35" s="69">
        <v>575</v>
      </c>
      <c r="J35" s="70">
        <v>694</v>
      </c>
    </row>
    <row r="36" spans="1:10" ht="14.25" x14ac:dyDescent="0.2">
      <c r="A36" s="69" t="s">
        <v>177</v>
      </c>
      <c r="B36" s="69" t="s">
        <v>45</v>
      </c>
      <c r="C36" s="69" t="s">
        <v>200</v>
      </c>
      <c r="D36" s="69">
        <v>797</v>
      </c>
      <c r="E36" s="69">
        <v>2111</v>
      </c>
      <c r="F36" s="69">
        <v>905</v>
      </c>
      <c r="G36" s="69">
        <v>324</v>
      </c>
      <c r="H36" s="69">
        <v>533</v>
      </c>
      <c r="I36" s="69">
        <v>59</v>
      </c>
      <c r="J36" s="70">
        <v>644</v>
      </c>
    </row>
    <row r="37" spans="1:10" ht="14.25" x14ac:dyDescent="0.2">
      <c r="A37" s="69"/>
      <c r="B37" s="69"/>
      <c r="C37" s="69"/>
      <c r="D37" s="69"/>
      <c r="E37" s="69"/>
      <c r="F37" s="69"/>
      <c r="G37" s="69"/>
      <c r="H37" s="69"/>
      <c r="I37" s="69"/>
      <c r="J37" s="70"/>
    </row>
    <row r="38" spans="1:10" ht="14.25" x14ac:dyDescent="0.2">
      <c r="A38" s="69" t="s">
        <v>91</v>
      </c>
      <c r="B38" s="69" t="s">
        <v>46</v>
      </c>
      <c r="C38" s="69" t="s">
        <v>201</v>
      </c>
      <c r="D38" s="69">
        <v>608</v>
      </c>
      <c r="E38" s="69">
        <v>943</v>
      </c>
      <c r="F38" s="69">
        <v>329</v>
      </c>
      <c r="G38" s="69">
        <v>125</v>
      </c>
      <c r="H38" s="69">
        <v>119</v>
      </c>
      <c r="I38" s="69">
        <v>143</v>
      </c>
      <c r="J38" s="70">
        <v>246</v>
      </c>
    </row>
    <row r="39" spans="1:10" ht="14.25" x14ac:dyDescent="0.2">
      <c r="A39" s="69" t="s">
        <v>177</v>
      </c>
      <c r="B39" s="69" t="s">
        <v>46</v>
      </c>
      <c r="C39" s="69" t="s">
        <v>202</v>
      </c>
      <c r="D39" s="69">
        <v>719</v>
      </c>
      <c r="E39" s="69">
        <v>1081</v>
      </c>
      <c r="F39" s="69">
        <v>884</v>
      </c>
      <c r="G39" s="69">
        <v>539</v>
      </c>
      <c r="H39" s="69">
        <v>253</v>
      </c>
      <c r="I39" s="69">
        <v>257</v>
      </c>
      <c r="J39" s="70">
        <v>249</v>
      </c>
    </row>
    <row r="40" spans="1:10" x14ac:dyDescent="0.25">
      <c r="A40" s="3"/>
      <c r="C40" s="68"/>
      <c r="D40" s="68"/>
      <c r="E40" s="68"/>
      <c r="F40" s="68"/>
      <c r="G40" s="68"/>
    </row>
    <row r="41" spans="1:10" x14ac:dyDescent="0.25">
      <c r="A41" s="3"/>
      <c r="C41" s="68"/>
      <c r="D41" s="68"/>
      <c r="E41" s="68"/>
      <c r="F41" s="68"/>
      <c r="G41" s="68"/>
    </row>
    <row r="42" spans="1:10" x14ac:dyDescent="0.25">
      <c r="A42" s="3"/>
      <c r="C42" s="68"/>
      <c r="D42" s="68"/>
      <c r="E42" s="68"/>
      <c r="F42" s="68"/>
      <c r="G42" s="68"/>
    </row>
    <row r="43" spans="1:10" x14ac:dyDescent="0.25">
      <c r="A43" s="3"/>
      <c r="C43" s="68"/>
      <c r="D43" s="68"/>
      <c r="E43" s="68"/>
      <c r="F43" s="68"/>
      <c r="G43" s="68"/>
    </row>
    <row r="44" spans="1:10" x14ac:dyDescent="0.25">
      <c r="A44" s="3"/>
      <c r="C44" s="68"/>
      <c r="D44" s="68"/>
      <c r="E44" s="68"/>
      <c r="F44" s="68"/>
      <c r="G44" s="68"/>
    </row>
    <row r="45" spans="1:10" x14ac:dyDescent="0.25">
      <c r="C45" s="68"/>
      <c r="D45" s="68"/>
      <c r="E45" s="68"/>
      <c r="F45" s="68"/>
      <c r="G45" s="68"/>
    </row>
    <row r="46" spans="1:10" x14ac:dyDescent="0.25">
      <c r="A46" s="3"/>
      <c r="C46" s="68"/>
      <c r="D46" s="68"/>
      <c r="E46" s="68"/>
      <c r="F46" s="68"/>
      <c r="G46" s="68"/>
    </row>
    <row r="47" spans="1:10" x14ac:dyDescent="0.25">
      <c r="A47" s="3"/>
      <c r="C47" s="68"/>
      <c r="D47" s="68"/>
      <c r="E47" s="68"/>
      <c r="F47" s="68"/>
      <c r="G47" s="68"/>
    </row>
    <row r="48" spans="1:10" x14ac:dyDescent="0.25">
      <c r="A48" s="3"/>
      <c r="C48" s="68"/>
      <c r="D48" s="68"/>
      <c r="E48" s="68"/>
      <c r="F48" s="68"/>
      <c r="G48" s="68"/>
    </row>
    <row r="49" spans="1:7" x14ac:dyDescent="0.25">
      <c r="A49" s="3"/>
      <c r="C49" s="68"/>
      <c r="D49" s="68"/>
      <c r="E49" s="68"/>
      <c r="F49" s="68"/>
      <c r="G49" s="68"/>
    </row>
    <row r="50" spans="1:7" x14ac:dyDescent="0.25">
      <c r="A50" s="3"/>
      <c r="C50" s="68"/>
      <c r="D50" s="68"/>
      <c r="E50" s="68"/>
      <c r="F50" s="68"/>
      <c r="G50" s="68"/>
    </row>
    <row r="51" spans="1:7" x14ac:dyDescent="0.25">
      <c r="A51" s="3"/>
      <c r="C51" s="68"/>
      <c r="D51" s="68"/>
      <c r="E51" s="68"/>
      <c r="F51" s="68"/>
      <c r="G51" s="68"/>
    </row>
    <row r="52" spans="1:7" x14ac:dyDescent="0.25">
      <c r="A52" s="3"/>
      <c r="C52" s="68"/>
      <c r="D52" s="68"/>
      <c r="E52" s="68"/>
      <c r="F52" s="68"/>
      <c r="G52" s="68"/>
    </row>
    <row r="53" spans="1:7" x14ac:dyDescent="0.25">
      <c r="A53" s="3"/>
      <c r="C53" s="68"/>
      <c r="D53" s="68"/>
      <c r="E53" s="68"/>
      <c r="F53" s="68"/>
      <c r="G53" s="68"/>
    </row>
    <row r="54" spans="1:7" x14ac:dyDescent="0.25">
      <c r="A54" s="3"/>
      <c r="C54" s="68"/>
      <c r="D54" s="68"/>
      <c r="E54" s="68"/>
      <c r="F54" s="68"/>
      <c r="G54" s="68"/>
    </row>
    <row r="55" spans="1:7" x14ac:dyDescent="0.25">
      <c r="A55" s="3"/>
      <c r="C55" s="68"/>
      <c r="D55" s="68"/>
      <c r="E55" s="68"/>
      <c r="F55" s="68"/>
      <c r="G55" s="68"/>
    </row>
    <row r="56" spans="1:7" x14ac:dyDescent="0.25">
      <c r="A56" s="3"/>
      <c r="C56" s="68"/>
      <c r="D56" s="68"/>
      <c r="E56" s="68"/>
      <c r="F56" s="68"/>
      <c r="G56" s="68"/>
    </row>
    <row r="57" spans="1:7" x14ac:dyDescent="0.25">
      <c r="A57" s="3"/>
      <c r="C57" s="68"/>
      <c r="D57" s="68"/>
      <c r="E57" s="68"/>
      <c r="F57" s="68"/>
      <c r="G57" s="68"/>
    </row>
    <row r="58" spans="1:7" x14ac:dyDescent="0.25">
      <c r="A58" s="3"/>
      <c r="C58" s="68"/>
      <c r="D58" s="68"/>
      <c r="E58" s="68"/>
      <c r="F58" s="68"/>
      <c r="G58" s="68"/>
    </row>
    <row r="59" spans="1:7" x14ac:dyDescent="0.25">
      <c r="A59" s="3"/>
      <c r="C59" s="68"/>
      <c r="D59" s="68"/>
      <c r="E59" s="68"/>
      <c r="F59" s="68"/>
      <c r="G59" s="68"/>
    </row>
    <row r="60" spans="1:7" x14ac:dyDescent="0.25">
      <c r="A60" s="3"/>
      <c r="C60" s="68"/>
      <c r="D60" s="68"/>
      <c r="E60" s="68"/>
      <c r="F60" s="68"/>
      <c r="G60" s="68"/>
    </row>
    <row r="61" spans="1:7" x14ac:dyDescent="0.25">
      <c r="A61" s="3"/>
      <c r="C61" s="68"/>
      <c r="D61" s="68"/>
      <c r="E61" s="68"/>
      <c r="F61" s="68"/>
      <c r="G61" s="68"/>
    </row>
    <row r="62" spans="1:7" x14ac:dyDescent="0.25">
      <c r="A62" s="3"/>
      <c r="C62" s="68"/>
      <c r="D62" s="68"/>
      <c r="E62" s="68"/>
      <c r="F62" s="68"/>
      <c r="G62" s="68"/>
    </row>
    <row r="63" spans="1:7" x14ac:dyDescent="0.25">
      <c r="A63" s="3"/>
      <c r="C63" s="68"/>
      <c r="D63" s="68"/>
      <c r="E63" s="68"/>
      <c r="F63" s="68"/>
      <c r="G63" s="68"/>
    </row>
    <row r="64" spans="1:7" x14ac:dyDescent="0.25">
      <c r="A64" s="3"/>
      <c r="C64" s="68"/>
      <c r="D64" s="68"/>
      <c r="E64" s="68"/>
      <c r="F64" s="68"/>
      <c r="G64" s="68"/>
    </row>
    <row r="65" spans="1:7" x14ac:dyDescent="0.25">
      <c r="A65" s="3"/>
      <c r="C65" s="68"/>
      <c r="D65" s="68"/>
      <c r="E65" s="68"/>
      <c r="F65" s="68"/>
      <c r="G65" s="68"/>
    </row>
    <row r="66" spans="1:7" x14ac:dyDescent="0.25">
      <c r="A66" s="3"/>
      <c r="C66" s="68"/>
      <c r="D66" s="68"/>
      <c r="E66" s="68"/>
      <c r="F66" s="68"/>
      <c r="G66" s="68"/>
    </row>
    <row r="67" spans="1:7" x14ac:dyDescent="0.25">
      <c r="C67" s="68"/>
      <c r="D67" s="68"/>
      <c r="E67" s="68"/>
      <c r="F67" s="68"/>
      <c r="G67" s="68"/>
    </row>
    <row r="68" spans="1:7" x14ac:dyDescent="0.25">
      <c r="A68" s="3"/>
      <c r="C68" s="68"/>
      <c r="D68" s="68"/>
      <c r="E68" s="68"/>
      <c r="F68" s="68"/>
      <c r="G68" s="68"/>
    </row>
    <row r="69" spans="1:7" x14ac:dyDescent="0.25">
      <c r="A69" s="3"/>
      <c r="C69" s="68"/>
      <c r="D69" s="68"/>
      <c r="E69" s="68"/>
      <c r="F69" s="68"/>
      <c r="G69" s="68"/>
    </row>
    <row r="70" spans="1:7" x14ac:dyDescent="0.25">
      <c r="A70" s="3"/>
      <c r="C70" s="68"/>
      <c r="D70" s="68"/>
      <c r="E70" s="68"/>
      <c r="F70" s="68"/>
      <c r="G70" s="68"/>
    </row>
    <row r="71" spans="1:7" x14ac:dyDescent="0.25">
      <c r="A71" s="3"/>
      <c r="C71" s="68"/>
      <c r="D71" s="68"/>
      <c r="E71" s="68"/>
      <c r="F71" s="68"/>
      <c r="G71" s="68"/>
    </row>
    <row r="72" spans="1:7" x14ac:dyDescent="0.25">
      <c r="A72" s="3"/>
      <c r="C72" s="68"/>
      <c r="D72" s="68"/>
      <c r="E72" s="68"/>
      <c r="F72" s="68"/>
      <c r="G72" s="68"/>
    </row>
    <row r="73" spans="1:7" x14ac:dyDescent="0.25">
      <c r="A73" s="3"/>
      <c r="C73" s="68"/>
      <c r="D73" s="68"/>
      <c r="E73" s="68"/>
      <c r="F73" s="68"/>
      <c r="G73" s="68"/>
    </row>
    <row r="74" spans="1:7" x14ac:dyDescent="0.25">
      <c r="A74" s="3"/>
      <c r="C74" s="68"/>
      <c r="D74" s="68"/>
      <c r="E74" s="68"/>
      <c r="F74" s="68"/>
      <c r="G74" s="68"/>
    </row>
    <row r="75" spans="1:7" x14ac:dyDescent="0.25">
      <c r="A75" s="3"/>
      <c r="C75" s="68"/>
      <c r="D75" s="68"/>
      <c r="E75" s="68"/>
      <c r="F75" s="68"/>
      <c r="G75" s="68"/>
    </row>
    <row r="76" spans="1:7" x14ac:dyDescent="0.25">
      <c r="A76" s="3"/>
      <c r="C76" s="68"/>
      <c r="D76" s="68"/>
      <c r="E76" s="68"/>
      <c r="F76" s="68"/>
      <c r="G76" s="68"/>
    </row>
    <row r="77" spans="1:7" x14ac:dyDescent="0.25">
      <c r="A77" s="3"/>
      <c r="C77" s="68"/>
      <c r="D77" s="68"/>
      <c r="E77" s="68"/>
      <c r="F77" s="68"/>
      <c r="G77" s="68"/>
    </row>
    <row r="78" spans="1:7" x14ac:dyDescent="0.25">
      <c r="A78" s="3"/>
      <c r="C78" s="68"/>
      <c r="D78" s="68"/>
      <c r="E78" s="68"/>
      <c r="F78" s="68"/>
      <c r="G78" s="68"/>
    </row>
    <row r="79" spans="1:7" x14ac:dyDescent="0.25">
      <c r="A79" s="3"/>
      <c r="C79" s="68"/>
      <c r="D79" s="68"/>
      <c r="E79" s="68"/>
      <c r="F79" s="68"/>
      <c r="G79" s="68"/>
    </row>
    <row r="80" spans="1:7" x14ac:dyDescent="0.25">
      <c r="A80" s="3"/>
      <c r="C80" s="68"/>
      <c r="D80" s="68"/>
      <c r="E80" s="68"/>
      <c r="F80" s="68"/>
      <c r="G80" s="68"/>
    </row>
    <row r="81" spans="1:7" x14ac:dyDescent="0.25">
      <c r="A81" s="3"/>
      <c r="C81" s="68"/>
      <c r="D81" s="68"/>
      <c r="E81" s="68"/>
      <c r="F81" s="68"/>
      <c r="G81" s="68"/>
    </row>
    <row r="82" spans="1:7" x14ac:dyDescent="0.25">
      <c r="A82" s="3"/>
      <c r="C82" s="68"/>
      <c r="D82" s="68"/>
      <c r="E82" s="68"/>
      <c r="F82" s="68"/>
      <c r="G82" s="68"/>
    </row>
    <row r="83" spans="1:7" x14ac:dyDescent="0.25">
      <c r="A83" s="3"/>
      <c r="C83" s="68"/>
      <c r="D83" s="68"/>
      <c r="E83" s="68"/>
      <c r="F83" s="68"/>
      <c r="G83" s="68"/>
    </row>
    <row r="84" spans="1:7" x14ac:dyDescent="0.25">
      <c r="A84" s="3"/>
      <c r="C84" s="68"/>
      <c r="D84" s="68"/>
      <c r="E84" s="68"/>
      <c r="F84" s="68"/>
      <c r="G84" s="68"/>
    </row>
    <row r="85" spans="1:7" x14ac:dyDescent="0.25">
      <c r="A85" s="3"/>
      <c r="C85" s="68"/>
      <c r="D85" s="68"/>
      <c r="E85" s="68"/>
      <c r="F85" s="68"/>
      <c r="G85" s="68"/>
    </row>
    <row r="86" spans="1:7" x14ac:dyDescent="0.25">
      <c r="A86" s="3"/>
      <c r="C86" s="68"/>
      <c r="D86" s="68"/>
      <c r="E86" s="68"/>
      <c r="F86" s="68"/>
      <c r="G86" s="68"/>
    </row>
    <row r="87" spans="1:7" x14ac:dyDescent="0.25">
      <c r="A87" s="3"/>
      <c r="C87" s="68"/>
      <c r="D87" s="68"/>
      <c r="E87" s="68"/>
      <c r="F87" s="68"/>
      <c r="G87" s="68"/>
    </row>
    <row r="88" spans="1:7" x14ac:dyDescent="0.25">
      <c r="A88" s="3"/>
      <c r="C88" s="68"/>
      <c r="D88" s="68"/>
      <c r="E88" s="68"/>
      <c r="F88" s="68"/>
      <c r="G88" s="68"/>
    </row>
    <row r="89" spans="1:7" x14ac:dyDescent="0.25">
      <c r="C89" s="68"/>
      <c r="D89" s="68"/>
      <c r="E89" s="68"/>
      <c r="F89" s="68"/>
      <c r="G89" s="68"/>
    </row>
    <row r="90" spans="1:7" x14ac:dyDescent="0.25">
      <c r="A90" s="3"/>
      <c r="C90" s="68"/>
      <c r="D90" s="68"/>
      <c r="E90" s="68"/>
      <c r="F90" s="68"/>
      <c r="G90" s="68"/>
    </row>
    <row r="91" spans="1:7" x14ac:dyDescent="0.25">
      <c r="A91" s="3"/>
      <c r="C91" s="68"/>
      <c r="D91" s="68"/>
      <c r="E91" s="68"/>
      <c r="F91" s="68"/>
      <c r="G91" s="68"/>
    </row>
    <row r="92" spans="1:7" x14ac:dyDescent="0.25">
      <c r="A92" s="3"/>
      <c r="C92" s="68"/>
      <c r="D92" s="68"/>
      <c r="E92" s="68"/>
      <c r="F92" s="68"/>
      <c r="G92" s="68"/>
    </row>
    <row r="93" spans="1:7" x14ac:dyDescent="0.25">
      <c r="A93" s="3"/>
      <c r="C93" s="68"/>
      <c r="D93" s="68"/>
      <c r="E93" s="68"/>
      <c r="F93" s="68"/>
      <c r="G93" s="68"/>
    </row>
    <row r="94" spans="1:7" x14ac:dyDescent="0.25">
      <c r="A94" s="3"/>
      <c r="C94" s="68"/>
      <c r="D94" s="68"/>
      <c r="E94" s="68"/>
      <c r="F94" s="68"/>
      <c r="G94" s="68"/>
    </row>
    <row r="95" spans="1:7" x14ac:dyDescent="0.25">
      <c r="A95" s="3"/>
      <c r="C95" s="68"/>
      <c r="D95" s="68"/>
      <c r="E95" s="68"/>
      <c r="F95" s="68"/>
      <c r="G95" s="68"/>
    </row>
    <row r="96" spans="1:7" x14ac:dyDescent="0.25">
      <c r="A96" s="3"/>
      <c r="C96" s="68"/>
      <c r="D96" s="68"/>
      <c r="E96" s="68"/>
      <c r="F96" s="68"/>
      <c r="G96" s="68"/>
    </row>
    <row r="97" spans="1:7" x14ac:dyDescent="0.25">
      <c r="A97" s="3"/>
      <c r="C97" s="68"/>
      <c r="D97" s="68"/>
      <c r="E97" s="68"/>
      <c r="F97" s="68"/>
      <c r="G97" s="68"/>
    </row>
    <row r="98" spans="1:7" x14ac:dyDescent="0.25">
      <c r="A98" s="3"/>
      <c r="C98" s="68"/>
      <c r="D98" s="68"/>
      <c r="E98" s="68"/>
      <c r="F98" s="68"/>
      <c r="G98" s="68"/>
    </row>
    <row r="99" spans="1:7" x14ac:dyDescent="0.25">
      <c r="A99" s="3"/>
      <c r="C99" s="68"/>
      <c r="D99" s="68"/>
      <c r="E99" s="68"/>
      <c r="F99" s="68"/>
      <c r="G99" s="68"/>
    </row>
    <row r="100" spans="1:7" x14ac:dyDescent="0.25">
      <c r="A100" s="3"/>
      <c r="C100" s="68"/>
      <c r="D100" s="68"/>
      <c r="E100" s="68"/>
      <c r="F100" s="68"/>
      <c r="G100" s="68"/>
    </row>
    <row r="101" spans="1:7" x14ac:dyDescent="0.25">
      <c r="A101" s="3"/>
      <c r="C101" s="68"/>
      <c r="D101" s="68"/>
      <c r="E101" s="68"/>
      <c r="F101" s="68"/>
      <c r="G101" s="68"/>
    </row>
    <row r="102" spans="1:7" x14ac:dyDescent="0.25">
      <c r="A102" s="3"/>
      <c r="C102" s="68"/>
      <c r="D102" s="68"/>
      <c r="E102" s="68"/>
      <c r="F102" s="68"/>
      <c r="G102" s="68"/>
    </row>
    <row r="103" spans="1:7" x14ac:dyDescent="0.25">
      <c r="A103" s="3"/>
      <c r="C103" s="68"/>
      <c r="D103" s="68"/>
      <c r="E103" s="68"/>
      <c r="F103" s="68"/>
      <c r="G103" s="68"/>
    </row>
    <row r="104" spans="1:7" x14ac:dyDescent="0.25">
      <c r="A104" s="3"/>
      <c r="C104" s="68"/>
      <c r="D104" s="68"/>
      <c r="E104" s="68"/>
      <c r="F104" s="68"/>
      <c r="G104" s="68"/>
    </row>
    <row r="105" spans="1:7" x14ac:dyDescent="0.25">
      <c r="A105" s="3"/>
      <c r="C105" s="68"/>
      <c r="D105" s="68"/>
      <c r="E105" s="68"/>
      <c r="F105" s="68"/>
      <c r="G105" s="68"/>
    </row>
    <row r="106" spans="1:7" x14ac:dyDescent="0.25">
      <c r="A106" s="3"/>
      <c r="C106" s="68"/>
      <c r="D106" s="68"/>
      <c r="E106" s="68"/>
      <c r="F106" s="68"/>
      <c r="G106" s="68"/>
    </row>
    <row r="107" spans="1:7" x14ac:dyDescent="0.25">
      <c r="A107" s="3"/>
      <c r="C107" s="68"/>
      <c r="D107" s="68"/>
      <c r="E107" s="68"/>
      <c r="F107" s="68"/>
      <c r="G107" s="68"/>
    </row>
    <row r="108" spans="1:7" x14ac:dyDescent="0.25">
      <c r="A108" s="3"/>
      <c r="C108" s="68"/>
      <c r="D108" s="68"/>
      <c r="E108" s="68"/>
      <c r="F108" s="68"/>
      <c r="G108" s="68"/>
    </row>
    <row r="109" spans="1:7" x14ac:dyDescent="0.25">
      <c r="A109" s="3"/>
      <c r="C109" s="68"/>
      <c r="D109" s="68"/>
      <c r="E109" s="68"/>
      <c r="F109" s="68"/>
      <c r="G109" s="68"/>
    </row>
    <row r="110" spans="1:7" x14ac:dyDescent="0.25">
      <c r="A110" s="3"/>
      <c r="C110" s="68"/>
      <c r="D110" s="68"/>
      <c r="E110" s="68"/>
      <c r="F110" s="68"/>
      <c r="G110" s="68"/>
    </row>
    <row r="111" spans="1:7" x14ac:dyDescent="0.25">
      <c r="C111" s="68"/>
      <c r="D111" s="68"/>
      <c r="E111" s="68"/>
      <c r="F111" s="68"/>
      <c r="G111" s="68"/>
    </row>
    <row r="112" spans="1:7" x14ac:dyDescent="0.25">
      <c r="A112" s="3"/>
      <c r="C112" s="68"/>
      <c r="D112" s="68"/>
      <c r="E112" s="68"/>
      <c r="F112" s="68"/>
      <c r="G112" s="68"/>
    </row>
    <row r="113" spans="1:7" x14ac:dyDescent="0.25">
      <c r="A113" s="3"/>
      <c r="C113" s="68"/>
      <c r="D113" s="68"/>
      <c r="E113" s="68"/>
      <c r="F113" s="68"/>
      <c r="G113" s="68"/>
    </row>
    <row r="114" spans="1:7" x14ac:dyDescent="0.25">
      <c r="A114" s="3"/>
      <c r="C114" s="68"/>
      <c r="D114" s="68"/>
      <c r="E114" s="68"/>
      <c r="F114" s="68"/>
      <c r="G114" s="68"/>
    </row>
    <row r="115" spans="1:7" x14ac:dyDescent="0.25">
      <c r="A115" s="3"/>
      <c r="C115" s="68"/>
      <c r="D115" s="68"/>
      <c r="E115" s="68"/>
      <c r="F115" s="68"/>
      <c r="G115" s="68"/>
    </row>
    <row r="116" spans="1:7" x14ac:dyDescent="0.25">
      <c r="A116" s="3"/>
      <c r="C116" s="68"/>
      <c r="D116" s="68"/>
      <c r="E116" s="68"/>
      <c r="F116" s="68"/>
      <c r="G116" s="68"/>
    </row>
    <row r="117" spans="1:7" x14ac:dyDescent="0.25">
      <c r="A117" s="3"/>
      <c r="C117" s="68"/>
      <c r="D117" s="68"/>
      <c r="E117" s="68"/>
      <c r="F117" s="68"/>
      <c r="G117" s="68"/>
    </row>
    <row r="118" spans="1:7" x14ac:dyDescent="0.25">
      <c r="A118" s="3"/>
      <c r="C118" s="68"/>
      <c r="D118" s="68"/>
      <c r="E118" s="68"/>
      <c r="F118" s="68"/>
      <c r="G118" s="68"/>
    </row>
    <row r="119" spans="1:7" x14ac:dyDescent="0.25">
      <c r="A119" s="3"/>
      <c r="C119" s="68"/>
      <c r="D119" s="68"/>
      <c r="E119" s="68"/>
      <c r="F119" s="68"/>
      <c r="G119" s="68"/>
    </row>
    <row r="120" spans="1:7" x14ac:dyDescent="0.25">
      <c r="A120" s="3"/>
      <c r="C120" s="68"/>
      <c r="D120" s="68"/>
      <c r="E120" s="68"/>
      <c r="F120" s="68"/>
      <c r="G120" s="68"/>
    </row>
    <row r="121" spans="1:7" x14ac:dyDescent="0.25">
      <c r="A121" s="3"/>
      <c r="C121" s="68"/>
      <c r="D121" s="68"/>
      <c r="E121" s="68"/>
      <c r="F121" s="68"/>
      <c r="G121" s="68"/>
    </row>
    <row r="122" spans="1:7" x14ac:dyDescent="0.25">
      <c r="A122" s="3"/>
      <c r="C122" s="68"/>
      <c r="D122" s="68"/>
      <c r="E122" s="68"/>
      <c r="F122" s="68"/>
      <c r="G122" s="68"/>
    </row>
    <row r="123" spans="1:7" x14ac:dyDescent="0.25">
      <c r="A123" s="3"/>
      <c r="C123" s="68"/>
      <c r="D123" s="68"/>
      <c r="E123" s="68"/>
      <c r="F123" s="68"/>
      <c r="G123" s="68"/>
    </row>
    <row r="124" spans="1:7" x14ac:dyDescent="0.25">
      <c r="A124" s="3"/>
      <c r="C124" s="68"/>
      <c r="D124" s="68"/>
      <c r="E124" s="68"/>
      <c r="F124" s="68"/>
      <c r="G124" s="68"/>
    </row>
    <row r="125" spans="1:7" x14ac:dyDescent="0.25">
      <c r="A125" s="3"/>
      <c r="C125" s="68"/>
      <c r="D125" s="68"/>
      <c r="E125" s="68"/>
      <c r="F125" s="68"/>
      <c r="G125" s="68"/>
    </row>
    <row r="126" spans="1:7" x14ac:dyDescent="0.25">
      <c r="A126" s="3"/>
      <c r="C126" s="68"/>
      <c r="D126" s="68"/>
      <c r="E126" s="68"/>
      <c r="F126" s="68"/>
      <c r="G126" s="68"/>
    </row>
    <row r="127" spans="1:7" x14ac:dyDescent="0.25">
      <c r="A127" s="3"/>
      <c r="C127" s="68"/>
      <c r="D127" s="68"/>
      <c r="E127" s="68"/>
      <c r="F127" s="68"/>
      <c r="G127" s="68"/>
    </row>
    <row r="128" spans="1:7" x14ac:dyDescent="0.25">
      <c r="A128" s="3"/>
      <c r="C128" s="68"/>
      <c r="D128" s="68"/>
      <c r="E128" s="68"/>
      <c r="F128" s="68"/>
      <c r="G128" s="68"/>
    </row>
    <row r="129" spans="1:7" x14ac:dyDescent="0.25">
      <c r="A129" s="3"/>
      <c r="C129" s="68"/>
      <c r="D129" s="68"/>
      <c r="E129" s="68"/>
      <c r="F129" s="68"/>
      <c r="G129" s="68"/>
    </row>
    <row r="130" spans="1:7" x14ac:dyDescent="0.25">
      <c r="A130" s="3"/>
      <c r="C130" s="68"/>
      <c r="D130" s="68"/>
      <c r="E130" s="68"/>
      <c r="F130" s="68"/>
      <c r="G130" s="68"/>
    </row>
    <row r="131" spans="1:7" x14ac:dyDescent="0.25">
      <c r="A131" s="3"/>
      <c r="C131" s="68"/>
      <c r="D131" s="68"/>
      <c r="E131" s="68"/>
      <c r="F131" s="68"/>
      <c r="G131" s="68"/>
    </row>
    <row r="132" spans="1:7" x14ac:dyDescent="0.25">
      <c r="A132" s="3"/>
      <c r="C132" s="68"/>
      <c r="D132" s="68"/>
      <c r="E132" s="68"/>
      <c r="F132" s="68"/>
      <c r="G132" s="68"/>
    </row>
    <row r="133" spans="1:7" x14ac:dyDescent="0.25">
      <c r="C133" s="68"/>
      <c r="D133" s="68"/>
      <c r="E133" s="68"/>
      <c r="F133" s="68"/>
      <c r="G133" s="68"/>
    </row>
    <row r="134" spans="1:7" x14ac:dyDescent="0.25">
      <c r="A134" s="3"/>
      <c r="C134" s="68"/>
      <c r="D134" s="68"/>
      <c r="E134" s="68"/>
      <c r="F134" s="68"/>
      <c r="G134" s="68"/>
    </row>
    <row r="135" spans="1:7" x14ac:dyDescent="0.25">
      <c r="A135" s="3"/>
      <c r="C135" s="68"/>
      <c r="D135" s="68"/>
      <c r="E135" s="68"/>
      <c r="F135" s="68"/>
      <c r="G135" s="68"/>
    </row>
    <row r="136" spans="1:7" x14ac:dyDescent="0.25">
      <c r="A136" s="3"/>
      <c r="C136" s="68"/>
      <c r="D136" s="68"/>
      <c r="E136" s="68"/>
      <c r="F136" s="68"/>
      <c r="G136" s="68"/>
    </row>
    <row r="137" spans="1:7" x14ac:dyDescent="0.25">
      <c r="A137" s="3"/>
      <c r="C137" s="68"/>
      <c r="D137" s="68"/>
      <c r="E137" s="68"/>
      <c r="F137" s="68"/>
      <c r="G137" s="68"/>
    </row>
    <row r="138" spans="1:7" x14ac:dyDescent="0.25">
      <c r="A138" s="3"/>
      <c r="C138" s="68"/>
      <c r="D138" s="68"/>
      <c r="E138" s="68"/>
      <c r="F138" s="68"/>
      <c r="G138" s="68"/>
    </row>
    <row r="139" spans="1:7" x14ac:dyDescent="0.25">
      <c r="A139" s="3"/>
      <c r="C139" s="68"/>
      <c r="D139" s="68"/>
      <c r="E139" s="68"/>
      <c r="F139" s="68"/>
      <c r="G139" s="68"/>
    </row>
    <row r="140" spans="1:7" x14ac:dyDescent="0.25">
      <c r="A140" s="3"/>
      <c r="C140" s="68"/>
      <c r="D140" s="68"/>
      <c r="E140" s="68"/>
      <c r="F140" s="68"/>
      <c r="G140" s="68"/>
    </row>
    <row r="141" spans="1:7" x14ac:dyDescent="0.25">
      <c r="A141" s="3"/>
      <c r="C141" s="68"/>
      <c r="D141" s="68"/>
      <c r="E141" s="68"/>
      <c r="F141" s="68"/>
      <c r="G141" s="68"/>
    </row>
    <row r="142" spans="1:7" x14ac:dyDescent="0.25">
      <c r="A142" s="3"/>
      <c r="C142" s="68"/>
      <c r="D142" s="68"/>
      <c r="E142" s="68"/>
      <c r="F142" s="68"/>
      <c r="G142" s="68"/>
    </row>
    <row r="143" spans="1:7" x14ac:dyDescent="0.25">
      <c r="A143" s="3"/>
      <c r="C143" s="68"/>
      <c r="D143" s="68"/>
      <c r="E143" s="68"/>
      <c r="F143" s="68"/>
      <c r="G143" s="68"/>
    </row>
    <row r="144" spans="1:7" x14ac:dyDescent="0.25">
      <c r="A144" s="3"/>
      <c r="C144" s="68"/>
      <c r="D144" s="68"/>
      <c r="E144" s="68"/>
      <c r="F144" s="68"/>
      <c r="G144" s="68"/>
    </row>
    <row r="145" spans="1:7" x14ac:dyDescent="0.25">
      <c r="A145" s="3"/>
      <c r="C145" s="68"/>
      <c r="D145" s="68"/>
      <c r="E145" s="68"/>
      <c r="F145" s="68"/>
      <c r="G145" s="68"/>
    </row>
    <row r="146" spans="1:7" x14ac:dyDescent="0.25">
      <c r="A146" s="3"/>
      <c r="C146" s="68"/>
      <c r="D146" s="68"/>
      <c r="E146" s="68"/>
      <c r="F146" s="68"/>
      <c r="G146" s="68"/>
    </row>
    <row r="147" spans="1:7" x14ac:dyDescent="0.25">
      <c r="A147" s="3"/>
      <c r="C147" s="68"/>
      <c r="D147" s="68"/>
      <c r="E147" s="68"/>
      <c r="F147" s="68"/>
      <c r="G147" s="68"/>
    </row>
    <row r="148" spans="1:7" x14ac:dyDescent="0.25">
      <c r="A148" s="3"/>
      <c r="C148" s="68"/>
      <c r="D148" s="68"/>
      <c r="E148" s="68"/>
      <c r="F148" s="68"/>
      <c r="G148" s="68"/>
    </row>
    <row r="149" spans="1:7" x14ac:dyDescent="0.25">
      <c r="A149" s="3"/>
      <c r="C149" s="68"/>
      <c r="D149" s="68"/>
      <c r="E149" s="68"/>
      <c r="F149" s="68"/>
      <c r="G149" s="68"/>
    </row>
    <row r="150" spans="1:7" x14ac:dyDescent="0.25">
      <c r="A150" s="3"/>
      <c r="C150" s="68"/>
      <c r="D150" s="68"/>
      <c r="E150" s="68"/>
      <c r="F150" s="68"/>
      <c r="G150" s="68"/>
    </row>
    <row r="151" spans="1:7" x14ac:dyDescent="0.25">
      <c r="A151" s="3"/>
      <c r="C151" s="68"/>
      <c r="D151" s="68"/>
      <c r="E151" s="68"/>
      <c r="F151" s="68"/>
      <c r="G151" s="68"/>
    </row>
    <row r="152" spans="1:7" x14ac:dyDescent="0.25">
      <c r="A152" s="3"/>
      <c r="C152" s="68"/>
      <c r="D152" s="68"/>
      <c r="E152" s="68"/>
      <c r="F152" s="68"/>
      <c r="G152" s="68"/>
    </row>
    <row r="153" spans="1:7" x14ac:dyDescent="0.25">
      <c r="A153" s="3"/>
      <c r="C153" s="68"/>
      <c r="D153" s="68"/>
      <c r="E153" s="68"/>
      <c r="F153" s="68"/>
      <c r="G153" s="68"/>
    </row>
    <row r="154" spans="1:7" x14ac:dyDescent="0.25">
      <c r="A154" s="3"/>
      <c r="C154" s="68"/>
      <c r="D154" s="68"/>
      <c r="E154" s="68"/>
      <c r="F154" s="68"/>
      <c r="G154" s="68"/>
    </row>
    <row r="155" spans="1:7" x14ac:dyDescent="0.25">
      <c r="C155" s="68"/>
      <c r="D155" s="68"/>
      <c r="E155" s="68"/>
      <c r="F155" s="68"/>
      <c r="G155" s="68"/>
    </row>
    <row r="156" spans="1:7" x14ac:dyDescent="0.25">
      <c r="A156" s="3"/>
      <c r="C156" s="68"/>
      <c r="D156" s="68"/>
      <c r="E156" s="68"/>
      <c r="F156" s="68"/>
      <c r="G156" s="68"/>
    </row>
    <row r="157" spans="1:7" x14ac:dyDescent="0.25">
      <c r="A157" s="3"/>
      <c r="C157" s="68"/>
      <c r="D157" s="68"/>
      <c r="E157" s="68"/>
      <c r="F157" s="68"/>
      <c r="G157" s="68"/>
    </row>
    <row r="158" spans="1:7" x14ac:dyDescent="0.25">
      <c r="A158" s="3"/>
      <c r="C158" s="68"/>
      <c r="D158" s="68"/>
      <c r="E158" s="68"/>
      <c r="F158" s="68"/>
      <c r="G158" s="68"/>
    </row>
    <row r="159" spans="1:7" x14ac:dyDescent="0.25">
      <c r="A159" s="3"/>
      <c r="C159" s="68"/>
      <c r="D159" s="68"/>
      <c r="E159" s="68"/>
      <c r="F159" s="68"/>
      <c r="G159" s="68"/>
    </row>
    <row r="160" spans="1:7" x14ac:dyDescent="0.25">
      <c r="A160" s="3"/>
      <c r="C160" s="68"/>
      <c r="D160" s="68"/>
      <c r="E160" s="68"/>
      <c r="F160" s="68"/>
      <c r="G160" s="68"/>
    </row>
    <row r="161" spans="1:7" x14ac:dyDescent="0.25">
      <c r="A161" s="3"/>
      <c r="C161" s="68"/>
      <c r="D161" s="68"/>
      <c r="E161" s="68"/>
      <c r="F161" s="68"/>
      <c r="G161" s="68"/>
    </row>
    <row r="162" spans="1:7" x14ac:dyDescent="0.25">
      <c r="A162" s="3"/>
      <c r="C162" s="68"/>
      <c r="D162" s="68"/>
      <c r="E162" s="68"/>
      <c r="F162" s="68"/>
      <c r="G162" s="68"/>
    </row>
    <row r="163" spans="1:7" x14ac:dyDescent="0.25">
      <c r="A163" s="3"/>
      <c r="C163" s="68"/>
      <c r="D163" s="68"/>
      <c r="E163" s="68"/>
      <c r="F163" s="68"/>
      <c r="G163" s="68"/>
    </row>
    <row r="164" spans="1:7" x14ac:dyDescent="0.25">
      <c r="A164" s="3"/>
      <c r="C164" s="68"/>
      <c r="D164" s="68"/>
      <c r="E164" s="68"/>
      <c r="F164" s="68"/>
      <c r="G164" s="68"/>
    </row>
    <row r="165" spans="1:7" x14ac:dyDescent="0.25">
      <c r="A165" s="3"/>
      <c r="C165" s="68"/>
      <c r="D165" s="68"/>
      <c r="E165" s="68"/>
      <c r="F165" s="68"/>
      <c r="G165" s="68"/>
    </row>
    <row r="166" spans="1:7" x14ac:dyDescent="0.25">
      <c r="A166" s="3"/>
      <c r="C166" s="68"/>
      <c r="D166" s="68"/>
      <c r="E166" s="68"/>
      <c r="F166" s="68"/>
      <c r="G166" s="68"/>
    </row>
    <row r="167" spans="1:7" x14ac:dyDescent="0.25">
      <c r="A167" s="3"/>
      <c r="C167" s="68"/>
      <c r="D167" s="68"/>
      <c r="E167" s="68"/>
      <c r="F167" s="68"/>
      <c r="G167" s="68"/>
    </row>
    <row r="168" spans="1:7" x14ac:dyDescent="0.25">
      <c r="A168" s="3"/>
      <c r="C168" s="68"/>
      <c r="D168" s="68"/>
      <c r="E168" s="68"/>
      <c r="F168" s="68"/>
      <c r="G168" s="68"/>
    </row>
    <row r="169" spans="1:7" x14ac:dyDescent="0.25">
      <c r="A169" s="3"/>
      <c r="C169" s="68"/>
      <c r="D169" s="68"/>
      <c r="E169" s="68"/>
      <c r="F169" s="68"/>
      <c r="G169" s="68"/>
    </row>
    <row r="170" spans="1:7" x14ac:dyDescent="0.25">
      <c r="A170" s="3"/>
      <c r="C170" s="68"/>
      <c r="D170" s="68"/>
      <c r="E170" s="68"/>
      <c r="F170" s="68"/>
      <c r="G170" s="68"/>
    </row>
    <row r="171" spans="1:7" x14ac:dyDescent="0.25">
      <c r="A171" s="3"/>
      <c r="C171" s="68"/>
      <c r="D171" s="68"/>
      <c r="E171" s="68"/>
      <c r="F171" s="68"/>
      <c r="G171" s="68"/>
    </row>
    <row r="172" spans="1:7" x14ac:dyDescent="0.25">
      <c r="A172" s="3"/>
      <c r="C172" s="68"/>
      <c r="D172" s="68"/>
      <c r="E172" s="68"/>
      <c r="F172" s="68"/>
      <c r="G172" s="68"/>
    </row>
    <row r="173" spans="1:7" x14ac:dyDescent="0.25">
      <c r="A173" s="3"/>
      <c r="C173" s="68"/>
      <c r="D173" s="68"/>
      <c r="E173" s="68"/>
      <c r="F173" s="68"/>
      <c r="G173" s="68"/>
    </row>
    <row r="174" spans="1:7" x14ac:dyDescent="0.25">
      <c r="A174" s="3"/>
      <c r="C174" s="68"/>
      <c r="D174" s="68"/>
      <c r="E174" s="68"/>
      <c r="F174" s="68"/>
      <c r="G174" s="68"/>
    </row>
    <row r="175" spans="1:7" x14ac:dyDescent="0.25">
      <c r="A175" s="3"/>
      <c r="C175" s="68"/>
      <c r="D175" s="68"/>
      <c r="E175" s="68"/>
      <c r="F175" s="68"/>
      <c r="G175" s="68"/>
    </row>
    <row r="176" spans="1:7" x14ac:dyDescent="0.25">
      <c r="A176" s="3"/>
      <c r="C176" s="68"/>
      <c r="D176" s="68"/>
      <c r="E176" s="68"/>
      <c r="F176" s="68"/>
      <c r="G176" s="68"/>
    </row>
    <row r="177" spans="1:7" x14ac:dyDescent="0.25">
      <c r="C177" s="68"/>
      <c r="D177" s="68"/>
      <c r="E177" s="68"/>
      <c r="F177" s="68"/>
      <c r="G177" s="68"/>
    </row>
    <row r="178" spans="1:7" x14ac:dyDescent="0.25">
      <c r="A178" s="3"/>
      <c r="C178" s="68"/>
      <c r="D178" s="68"/>
      <c r="E178" s="68"/>
      <c r="F178" s="68"/>
      <c r="G178" s="68"/>
    </row>
    <row r="179" spans="1:7" x14ac:dyDescent="0.25">
      <c r="A179" s="3"/>
      <c r="C179" s="68"/>
      <c r="D179" s="68"/>
      <c r="E179" s="68"/>
      <c r="F179" s="68"/>
      <c r="G179" s="68"/>
    </row>
    <row r="180" spans="1:7" x14ac:dyDescent="0.25">
      <c r="A180" s="3"/>
      <c r="C180" s="68"/>
      <c r="D180" s="68"/>
      <c r="E180" s="68"/>
      <c r="F180" s="68"/>
      <c r="G180" s="68"/>
    </row>
    <row r="181" spans="1:7" x14ac:dyDescent="0.25">
      <c r="A181" s="3"/>
      <c r="C181" s="68"/>
      <c r="D181" s="68"/>
      <c r="E181" s="68"/>
      <c r="F181" s="68"/>
      <c r="G181" s="68"/>
    </row>
    <row r="182" spans="1:7" x14ac:dyDescent="0.25">
      <c r="A182" s="3"/>
      <c r="C182" s="68"/>
      <c r="D182" s="68"/>
      <c r="E182" s="68"/>
      <c r="F182" s="68"/>
      <c r="G182" s="68"/>
    </row>
    <row r="183" spans="1:7" x14ac:dyDescent="0.25">
      <c r="A183" s="3"/>
      <c r="C183" s="68"/>
      <c r="D183" s="68"/>
      <c r="E183" s="68"/>
      <c r="F183" s="68"/>
      <c r="G183" s="68"/>
    </row>
    <row r="184" spans="1:7" x14ac:dyDescent="0.25">
      <c r="A184" s="3"/>
      <c r="C184" s="68"/>
      <c r="D184" s="68"/>
      <c r="E184" s="68"/>
      <c r="F184" s="68"/>
      <c r="G184" s="68"/>
    </row>
    <row r="185" spans="1:7" x14ac:dyDescent="0.25">
      <c r="A185" s="3"/>
      <c r="C185" s="68"/>
      <c r="D185" s="68"/>
      <c r="E185" s="68"/>
      <c r="F185" s="68"/>
      <c r="G185" s="68"/>
    </row>
    <row r="186" spans="1:7" x14ac:dyDescent="0.25">
      <c r="A186" s="3"/>
      <c r="C186" s="68"/>
      <c r="D186" s="68"/>
      <c r="E186" s="68"/>
      <c r="F186" s="68"/>
      <c r="G186" s="68"/>
    </row>
    <row r="187" spans="1:7" x14ac:dyDescent="0.25">
      <c r="A187" s="3"/>
      <c r="C187" s="68"/>
      <c r="D187" s="68"/>
      <c r="E187" s="68"/>
      <c r="F187" s="68"/>
      <c r="G187" s="68"/>
    </row>
    <row r="188" spans="1:7" x14ac:dyDescent="0.25">
      <c r="A188" s="3"/>
      <c r="C188" s="68"/>
      <c r="D188" s="68"/>
      <c r="E188" s="68"/>
      <c r="F188" s="68"/>
      <c r="G188" s="68"/>
    </row>
    <row r="189" spans="1:7" x14ac:dyDescent="0.25">
      <c r="A189" s="3"/>
      <c r="C189" s="68"/>
      <c r="D189" s="68"/>
      <c r="E189" s="68"/>
      <c r="F189" s="68"/>
      <c r="G189" s="68"/>
    </row>
    <row r="190" spans="1:7" x14ac:dyDescent="0.25">
      <c r="A190" s="3"/>
      <c r="C190" s="68"/>
      <c r="D190" s="68"/>
      <c r="E190" s="68"/>
      <c r="F190" s="68"/>
      <c r="G190" s="68"/>
    </row>
    <row r="191" spans="1:7" x14ac:dyDescent="0.25">
      <c r="A191" s="3"/>
      <c r="C191" s="68"/>
      <c r="D191" s="68"/>
      <c r="E191" s="68"/>
      <c r="F191" s="68"/>
      <c r="G191" s="68"/>
    </row>
    <row r="192" spans="1:7" x14ac:dyDescent="0.25">
      <c r="A192" s="3"/>
      <c r="C192" s="68"/>
      <c r="D192" s="68"/>
      <c r="E192" s="68"/>
      <c r="F192" s="68"/>
      <c r="G192" s="68"/>
    </row>
    <row r="193" spans="1:7" x14ac:dyDescent="0.25">
      <c r="A193" s="3"/>
      <c r="C193" s="68"/>
      <c r="D193" s="68"/>
      <c r="E193" s="68"/>
      <c r="F193" s="68"/>
      <c r="G193" s="68"/>
    </row>
    <row r="194" spans="1:7" x14ac:dyDescent="0.25">
      <c r="A194" s="3"/>
      <c r="C194" s="68"/>
      <c r="D194" s="68"/>
      <c r="E194" s="68"/>
      <c r="F194" s="68"/>
      <c r="G194" s="68"/>
    </row>
    <row r="195" spans="1:7" x14ac:dyDescent="0.25">
      <c r="A195" s="3"/>
      <c r="C195" s="68"/>
      <c r="D195" s="68"/>
      <c r="E195" s="68"/>
      <c r="F195" s="68"/>
      <c r="G195" s="68"/>
    </row>
    <row r="196" spans="1:7" x14ac:dyDescent="0.25">
      <c r="A196" s="3"/>
      <c r="C196" s="68"/>
      <c r="D196" s="68"/>
      <c r="E196" s="68"/>
      <c r="F196" s="68"/>
      <c r="G196" s="68"/>
    </row>
    <row r="197" spans="1:7" x14ac:dyDescent="0.25">
      <c r="A197" s="3"/>
      <c r="C197" s="68"/>
      <c r="D197" s="68"/>
      <c r="E197" s="68"/>
      <c r="F197" s="68"/>
      <c r="G197" s="68"/>
    </row>
    <row r="198" spans="1:7" x14ac:dyDescent="0.25">
      <c r="A198" s="3"/>
      <c r="C198" s="68"/>
      <c r="D198" s="68"/>
      <c r="E198" s="68"/>
      <c r="F198" s="68"/>
      <c r="G198" s="68"/>
    </row>
    <row r="199" spans="1:7" x14ac:dyDescent="0.25">
      <c r="C199" s="68"/>
      <c r="D199" s="68"/>
      <c r="E199" s="68"/>
      <c r="F199" s="68"/>
      <c r="G199" s="68"/>
    </row>
    <row r="200" spans="1:7" x14ac:dyDescent="0.25">
      <c r="A200" s="3"/>
      <c r="C200" s="68"/>
      <c r="D200" s="68"/>
      <c r="E200" s="68"/>
      <c r="F200" s="68"/>
      <c r="G200" s="68"/>
    </row>
    <row r="201" spans="1:7" x14ac:dyDescent="0.25">
      <c r="A201" s="3"/>
      <c r="C201" s="68"/>
      <c r="D201" s="68"/>
      <c r="E201" s="68"/>
      <c r="F201" s="68"/>
      <c r="G201" s="68"/>
    </row>
    <row r="202" spans="1:7" x14ac:dyDescent="0.25">
      <c r="A202" s="3"/>
      <c r="C202" s="68"/>
      <c r="D202" s="68"/>
      <c r="E202" s="68"/>
      <c r="F202" s="68"/>
      <c r="G202" s="68"/>
    </row>
    <row r="203" spans="1:7" x14ac:dyDescent="0.25">
      <c r="A203" s="3"/>
      <c r="C203" s="68"/>
      <c r="D203" s="68"/>
      <c r="E203" s="68"/>
      <c r="F203" s="68"/>
      <c r="G203" s="68"/>
    </row>
    <row r="204" spans="1:7" x14ac:dyDescent="0.25">
      <c r="A204" s="3"/>
      <c r="C204" s="68"/>
      <c r="D204" s="68"/>
      <c r="E204" s="68"/>
      <c r="F204" s="68"/>
      <c r="G204" s="68"/>
    </row>
    <row r="205" spans="1:7" x14ac:dyDescent="0.25">
      <c r="A205" s="3"/>
      <c r="C205" s="68"/>
      <c r="D205" s="68"/>
      <c r="E205" s="68"/>
      <c r="F205" s="68"/>
      <c r="G205" s="68"/>
    </row>
    <row r="206" spans="1:7" x14ac:dyDescent="0.25">
      <c r="A206" s="3"/>
      <c r="C206" s="68"/>
      <c r="D206" s="68"/>
      <c r="E206" s="68"/>
      <c r="F206" s="68"/>
      <c r="G206" s="68"/>
    </row>
    <row r="207" spans="1:7" x14ac:dyDescent="0.25">
      <c r="A207" s="3"/>
      <c r="C207" s="68"/>
      <c r="D207" s="68"/>
      <c r="E207" s="68"/>
      <c r="F207" s="68"/>
      <c r="G207" s="68"/>
    </row>
    <row r="208" spans="1:7" x14ac:dyDescent="0.25">
      <c r="A208" s="3"/>
      <c r="C208" s="68"/>
      <c r="D208" s="68"/>
      <c r="E208" s="68"/>
      <c r="F208" s="68"/>
      <c r="G208" s="68"/>
    </row>
    <row r="209" spans="1:7" x14ac:dyDescent="0.25">
      <c r="A209" s="3"/>
      <c r="C209" s="68"/>
      <c r="D209" s="68"/>
      <c r="E209" s="68"/>
      <c r="F209" s="68"/>
      <c r="G209" s="68"/>
    </row>
    <row r="210" spans="1:7" x14ac:dyDescent="0.25">
      <c r="A210" s="3"/>
      <c r="C210" s="68"/>
      <c r="D210" s="68"/>
      <c r="E210" s="68"/>
      <c r="F210" s="68"/>
      <c r="G210" s="68"/>
    </row>
    <row r="211" spans="1:7" x14ac:dyDescent="0.25">
      <c r="A211" s="3"/>
      <c r="C211" s="68"/>
      <c r="D211" s="68"/>
      <c r="E211" s="68"/>
      <c r="F211" s="68"/>
      <c r="G211" s="68"/>
    </row>
    <row r="212" spans="1:7" x14ac:dyDescent="0.25">
      <c r="A212" s="3"/>
      <c r="C212" s="68"/>
      <c r="D212" s="68"/>
      <c r="E212" s="68"/>
      <c r="F212" s="68"/>
      <c r="G212" s="68"/>
    </row>
    <row r="213" spans="1:7" x14ac:dyDescent="0.25">
      <c r="A213" s="3"/>
      <c r="C213" s="68"/>
      <c r="D213" s="68"/>
      <c r="E213" s="68"/>
      <c r="F213" s="68"/>
      <c r="G213" s="68"/>
    </row>
    <row r="214" spans="1:7" x14ac:dyDescent="0.25">
      <c r="A214" s="3"/>
      <c r="C214" s="68"/>
      <c r="D214" s="68"/>
      <c r="E214" s="68"/>
      <c r="F214" s="68"/>
      <c r="G214" s="68"/>
    </row>
    <row r="215" spans="1:7" x14ac:dyDescent="0.25">
      <c r="A215" s="3"/>
      <c r="C215" s="68"/>
      <c r="D215" s="68"/>
      <c r="E215" s="68"/>
      <c r="F215" s="68"/>
      <c r="G215" s="68"/>
    </row>
    <row r="216" spans="1:7" x14ac:dyDescent="0.25">
      <c r="A216" s="3"/>
      <c r="C216" s="68"/>
      <c r="D216" s="68"/>
      <c r="E216" s="68"/>
      <c r="F216" s="68"/>
      <c r="G216" s="68"/>
    </row>
    <row r="217" spans="1:7" x14ac:dyDescent="0.25">
      <c r="A217" s="3"/>
      <c r="C217" s="68"/>
      <c r="D217" s="68"/>
      <c r="E217" s="68"/>
      <c r="F217" s="68"/>
      <c r="G217" s="68"/>
    </row>
    <row r="218" spans="1:7" x14ac:dyDescent="0.25">
      <c r="A218" s="3"/>
      <c r="C218" s="68"/>
      <c r="D218" s="68"/>
      <c r="E218" s="68"/>
      <c r="F218" s="68"/>
      <c r="G218" s="68"/>
    </row>
    <row r="219" spans="1:7" x14ac:dyDescent="0.25">
      <c r="A219" s="3"/>
      <c r="C219" s="68"/>
      <c r="D219" s="68"/>
      <c r="E219" s="68"/>
      <c r="F219" s="68"/>
      <c r="G219" s="68"/>
    </row>
    <row r="220" spans="1:7" x14ac:dyDescent="0.25">
      <c r="A220" s="3"/>
    </row>
    <row r="221" spans="1:7" x14ac:dyDescent="0.25">
      <c r="A221" s="87"/>
      <c r="B221" s="87"/>
      <c r="C221" s="87"/>
      <c r="D221" s="87"/>
      <c r="E221" s="87"/>
      <c r="F221" s="87"/>
      <c r="G221" s="87"/>
    </row>
    <row r="222" spans="1:7" x14ac:dyDescent="0.25">
      <c r="A222" s="87"/>
      <c r="B222" s="87"/>
      <c r="C222" s="87"/>
      <c r="D222" s="87"/>
      <c r="E222" s="87"/>
      <c r="F222" s="87"/>
      <c r="G222" s="87"/>
    </row>
    <row r="223" spans="1:7" x14ac:dyDescent="0.25">
      <c r="A223" s="88"/>
      <c r="B223" s="88"/>
      <c r="C223" s="88"/>
      <c r="D223" s="88"/>
      <c r="E223" s="88"/>
      <c r="F223" s="88"/>
      <c r="G223" s="88"/>
    </row>
    <row r="224" spans="1:7" x14ac:dyDescent="0.25">
      <c r="A224" s="88"/>
      <c r="B224" s="88"/>
      <c r="C224" s="88"/>
      <c r="D224" s="88"/>
      <c r="E224" s="88"/>
      <c r="F224" s="88"/>
      <c r="G224" s="88"/>
    </row>
    <row r="225" spans="1:7" x14ac:dyDescent="0.25">
      <c r="A225" s="88"/>
      <c r="B225" s="88"/>
      <c r="C225" s="88"/>
      <c r="D225" s="88"/>
      <c r="E225" s="88"/>
      <c r="F225" s="88"/>
      <c r="G225" s="88"/>
    </row>
    <row r="226" spans="1:7" x14ac:dyDescent="0.25">
      <c r="A226" s="88"/>
      <c r="B226" s="88"/>
      <c r="C226" s="88"/>
      <c r="D226" s="88"/>
      <c r="E226" s="88"/>
      <c r="F226" s="88"/>
      <c r="G226" s="88"/>
    </row>
    <row r="227" spans="1:7" x14ac:dyDescent="0.25">
      <c r="A227" s="88"/>
      <c r="B227" s="88"/>
      <c r="C227" s="88"/>
      <c r="D227" s="88"/>
      <c r="E227" s="88"/>
      <c r="F227" s="88"/>
      <c r="G227" s="88"/>
    </row>
    <row r="228" spans="1:7" x14ac:dyDescent="0.25">
      <c r="A228" s="88"/>
      <c r="B228" s="88"/>
      <c r="C228" s="88"/>
      <c r="D228" s="88"/>
      <c r="E228" s="88"/>
      <c r="F228" s="88"/>
      <c r="G228" s="88"/>
    </row>
    <row r="229" spans="1:7" x14ac:dyDescent="0.25">
      <c r="A229" s="88"/>
      <c r="B229" s="88"/>
      <c r="C229" s="88"/>
      <c r="D229" s="88"/>
      <c r="E229" s="88"/>
      <c r="F229" s="88"/>
      <c r="G229" s="88"/>
    </row>
    <row r="230" spans="1:7" x14ac:dyDescent="0.25">
      <c r="A230" s="88"/>
      <c r="B230" s="88"/>
      <c r="C230" s="88"/>
      <c r="D230" s="88"/>
      <c r="E230" s="88"/>
      <c r="F230" s="88"/>
      <c r="G230" s="88"/>
    </row>
    <row r="231" spans="1:7" x14ac:dyDescent="0.25">
      <c r="A231" s="88"/>
      <c r="B231" s="88"/>
      <c r="C231" s="88"/>
      <c r="D231" s="88"/>
      <c r="E231" s="88"/>
      <c r="F231" s="88"/>
      <c r="G231" s="88"/>
    </row>
    <row r="232" spans="1:7" x14ac:dyDescent="0.25">
      <c r="A232" s="88"/>
      <c r="B232" s="88"/>
      <c r="C232" s="88"/>
      <c r="D232" s="88"/>
      <c r="E232" s="88"/>
      <c r="F232" s="88"/>
      <c r="G232" s="88"/>
    </row>
  </sheetData>
  <mergeCells count="2">
    <mergeCell ref="A221:G222"/>
    <mergeCell ref="A223:G2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heetViews>
  <sheetFormatPr defaultRowHeight="15" x14ac:dyDescent="0.25"/>
  <cols>
    <col min="1" max="1" width="19.28515625" style="1" customWidth="1"/>
    <col min="2" max="2" width="23.28515625" style="1" customWidth="1"/>
    <col min="3" max="16384" width="9.140625" style="1"/>
  </cols>
  <sheetData>
    <row r="1" spans="1:8" x14ac:dyDescent="0.25">
      <c r="A1" s="35" t="s">
        <v>139</v>
      </c>
    </row>
    <row r="3" spans="1:8" ht="15" customHeight="1" x14ac:dyDescent="0.25">
      <c r="A3" s="50"/>
      <c r="B3" s="50"/>
      <c r="C3" s="82" t="s">
        <v>98</v>
      </c>
      <c r="D3" s="82"/>
      <c r="E3" s="82" t="s">
        <v>99</v>
      </c>
      <c r="F3" s="82"/>
      <c r="G3" s="82" t="s">
        <v>100</v>
      </c>
      <c r="H3" s="82"/>
    </row>
    <row r="4" spans="1:8" ht="15" customHeight="1" x14ac:dyDescent="0.25">
      <c r="A4" s="42" t="s">
        <v>101</v>
      </c>
      <c r="B4" s="50" t="s">
        <v>102</v>
      </c>
      <c r="C4" s="50" t="s">
        <v>103</v>
      </c>
      <c r="D4" s="50" t="s">
        <v>104</v>
      </c>
      <c r="E4" s="50" t="s">
        <v>103</v>
      </c>
      <c r="F4" s="50" t="s">
        <v>104</v>
      </c>
      <c r="G4" s="50" t="s">
        <v>103</v>
      </c>
      <c r="H4" s="50" t="s">
        <v>104</v>
      </c>
    </row>
    <row r="5" spans="1:8" x14ac:dyDescent="0.25">
      <c r="A5" s="41" t="s">
        <v>105</v>
      </c>
      <c r="B5" s="4" t="s">
        <v>105</v>
      </c>
      <c r="C5" s="52">
        <v>32088.384925695853</v>
      </c>
      <c r="D5" s="52">
        <v>28143.77</v>
      </c>
      <c r="E5" s="52">
        <v>47156.124743315733</v>
      </c>
      <c r="F5" s="52">
        <v>42039.545000000006</v>
      </c>
      <c r="G5" s="52">
        <v>67899.806175700214</v>
      </c>
      <c r="H5" s="52">
        <v>56925.915000000001</v>
      </c>
    </row>
    <row r="6" spans="1:8" x14ac:dyDescent="0.25">
      <c r="A6" s="41" t="s">
        <v>106</v>
      </c>
      <c r="B6" s="4" t="s">
        <v>107</v>
      </c>
      <c r="C6" s="52">
        <v>36042.050794426148</v>
      </c>
      <c r="D6" s="52">
        <v>32991.040000000001</v>
      </c>
      <c r="E6" s="52">
        <v>54052.244484166324</v>
      </c>
      <c r="F6" s="52">
        <v>49088.32</v>
      </c>
      <c r="G6" s="52">
        <v>77487.67510181875</v>
      </c>
      <c r="H6" s="52">
        <v>65887.759999999995</v>
      </c>
    </row>
    <row r="7" spans="1:8" x14ac:dyDescent="0.25">
      <c r="A7" s="5"/>
      <c r="B7" s="4" t="s">
        <v>108</v>
      </c>
      <c r="C7" s="52">
        <v>35890.653284076347</v>
      </c>
      <c r="D7" s="52">
        <v>32055.355</v>
      </c>
      <c r="E7" s="52">
        <v>53392.280334585354</v>
      </c>
      <c r="F7" s="52">
        <v>47937.9</v>
      </c>
      <c r="G7" s="52">
        <v>79918.423466444656</v>
      </c>
      <c r="H7" s="52">
        <v>66014.5</v>
      </c>
    </row>
    <row r="8" spans="1:8" x14ac:dyDescent="0.25">
      <c r="A8" s="5"/>
      <c r="B8" s="4" t="s">
        <v>109</v>
      </c>
      <c r="C8" s="52">
        <v>36617.143235265488</v>
      </c>
      <c r="D8" s="52">
        <v>32773.050000000003</v>
      </c>
      <c r="E8" s="52">
        <v>58137.460319231075</v>
      </c>
      <c r="F8" s="52">
        <v>50738.22</v>
      </c>
      <c r="G8" s="52">
        <v>83937.16653081504</v>
      </c>
      <c r="H8" s="52">
        <v>69541.235000000001</v>
      </c>
    </row>
    <row r="9" spans="1:8" x14ac:dyDescent="0.25">
      <c r="A9" s="5"/>
      <c r="B9" s="4" t="s">
        <v>110</v>
      </c>
      <c r="C9" s="52">
        <v>35744.276444644413</v>
      </c>
      <c r="D9" s="52">
        <v>31994</v>
      </c>
      <c r="E9" s="52">
        <v>53494.675588785161</v>
      </c>
      <c r="F9" s="52">
        <v>52951.390000000007</v>
      </c>
      <c r="G9" s="52">
        <v>67449.384057665215</v>
      </c>
      <c r="H9" s="52">
        <v>65243.855000000003</v>
      </c>
    </row>
    <row r="10" spans="1:8" x14ac:dyDescent="0.25">
      <c r="A10" s="5"/>
      <c r="B10" s="4" t="s">
        <v>111</v>
      </c>
      <c r="C10" s="52">
        <v>36786.33743748517</v>
      </c>
      <c r="D10" s="52">
        <v>32031.360000000001</v>
      </c>
      <c r="E10" s="52">
        <v>55962.293047290899</v>
      </c>
      <c r="F10" s="52">
        <v>48115.37</v>
      </c>
      <c r="G10" s="52">
        <v>89160.855694512982</v>
      </c>
      <c r="H10" s="52">
        <v>70319.25</v>
      </c>
    </row>
    <row r="11" spans="1:8" x14ac:dyDescent="0.25">
      <c r="A11" s="41" t="s">
        <v>112</v>
      </c>
      <c r="B11" s="4" t="s">
        <v>113</v>
      </c>
      <c r="C11" s="52">
        <v>80333.584887096775</v>
      </c>
      <c r="D11" s="52">
        <v>81017.099999999991</v>
      </c>
      <c r="E11" s="52">
        <v>105129.50263736262</v>
      </c>
      <c r="F11" s="52">
        <v>103333.36500000001</v>
      </c>
      <c r="G11" s="52">
        <v>129182.9555681818</v>
      </c>
      <c r="H11" s="52">
        <v>130712.39</v>
      </c>
    </row>
    <row r="12" spans="1:8" x14ac:dyDescent="0.25">
      <c r="A12" s="5"/>
      <c r="B12" s="4" t="s">
        <v>89</v>
      </c>
      <c r="C12" s="52">
        <v>53582.568160923722</v>
      </c>
      <c r="D12" s="52">
        <v>50201.745000000003</v>
      </c>
      <c r="E12" s="52">
        <v>76719.541176629456</v>
      </c>
      <c r="F12" s="52">
        <v>68783.490000000005</v>
      </c>
      <c r="G12" s="52">
        <v>117382.37552778264</v>
      </c>
      <c r="H12" s="52">
        <v>94671.274999999994</v>
      </c>
    </row>
    <row r="13" spans="1:8" x14ac:dyDescent="0.25">
      <c r="A13" s="5" t="s">
        <v>114</v>
      </c>
      <c r="B13" s="4" t="s">
        <v>115</v>
      </c>
      <c r="C13" s="52">
        <v>51839.537024528996</v>
      </c>
      <c r="D13" s="52">
        <v>49826.559999999998</v>
      </c>
      <c r="E13" s="52">
        <v>73597.630632183878</v>
      </c>
      <c r="F13" s="52">
        <v>67328.095000000001</v>
      </c>
      <c r="G13" s="52">
        <v>107743.75690498162</v>
      </c>
      <c r="H13" s="52">
        <v>92787.76</v>
      </c>
    </row>
    <row r="14" spans="1:8" x14ac:dyDescent="0.25">
      <c r="A14" s="5"/>
      <c r="B14" s="4" t="s">
        <v>116</v>
      </c>
      <c r="C14" s="52">
        <v>47119.556951135623</v>
      </c>
      <c r="D14" s="52">
        <v>44904.08</v>
      </c>
      <c r="E14" s="52">
        <v>62799.084903457435</v>
      </c>
      <c r="F14" s="52">
        <v>58312.82</v>
      </c>
      <c r="G14" s="52">
        <v>80777.040228136917</v>
      </c>
      <c r="H14" s="52">
        <v>73990.794999999998</v>
      </c>
    </row>
    <row r="15" spans="1:8" x14ac:dyDescent="0.25">
      <c r="A15" s="41" t="s">
        <v>117</v>
      </c>
      <c r="B15" s="4" t="s">
        <v>118</v>
      </c>
      <c r="C15" s="52">
        <v>80535.234479446968</v>
      </c>
      <c r="D15" s="52">
        <v>74504.950000000012</v>
      </c>
      <c r="E15" s="52">
        <v>108151.57606049094</v>
      </c>
      <c r="F15" s="52">
        <v>93366.934999999998</v>
      </c>
      <c r="G15" s="52">
        <v>145324.30152917866</v>
      </c>
      <c r="H15" s="52">
        <v>118680.795</v>
      </c>
    </row>
    <row r="16" spans="1:8" x14ac:dyDescent="0.25">
      <c r="A16" s="5"/>
      <c r="B16" s="4" t="s">
        <v>119</v>
      </c>
      <c r="C16" s="52">
        <v>69138.102201766596</v>
      </c>
      <c r="D16" s="52">
        <v>66436.115000000005</v>
      </c>
      <c r="E16" s="52">
        <v>94332.52365619276</v>
      </c>
      <c r="F16" s="52">
        <v>86458.814999999988</v>
      </c>
      <c r="G16" s="52">
        <v>132667.06367253346</v>
      </c>
      <c r="H16" s="52">
        <v>113701.61</v>
      </c>
    </row>
    <row r="17" spans="1:8" x14ac:dyDescent="0.25">
      <c r="A17" s="5"/>
      <c r="B17" s="4" t="s">
        <v>120</v>
      </c>
      <c r="C17" s="52">
        <v>51569.911506849363</v>
      </c>
      <c r="D17" s="52">
        <v>47213.075000000004</v>
      </c>
      <c r="E17" s="52">
        <v>76150.436202185811</v>
      </c>
      <c r="F17" s="52">
        <v>70397.194999999992</v>
      </c>
      <c r="G17" s="52">
        <v>109747.58778985514</v>
      </c>
      <c r="H17" s="52">
        <v>95974.025000000009</v>
      </c>
    </row>
    <row r="18" spans="1:8" x14ac:dyDescent="0.25">
      <c r="A18" s="5"/>
      <c r="B18" s="4" t="s">
        <v>121</v>
      </c>
      <c r="C18" s="52">
        <v>38529.861472586017</v>
      </c>
      <c r="D18" s="52">
        <v>36646.14</v>
      </c>
      <c r="E18" s="52">
        <v>63096.766508097193</v>
      </c>
      <c r="F18" s="52">
        <v>55931.700000000004</v>
      </c>
      <c r="G18" s="52">
        <v>107389.55529825692</v>
      </c>
      <c r="H18" s="52">
        <v>89377.89</v>
      </c>
    </row>
    <row r="19" spans="1:8" x14ac:dyDescent="0.25">
      <c r="A19" s="5"/>
      <c r="B19" s="4" t="s">
        <v>122</v>
      </c>
      <c r="C19" s="52">
        <v>44006.785370128149</v>
      </c>
      <c r="D19" s="52">
        <v>42572.780000000006</v>
      </c>
      <c r="E19" s="52">
        <v>61941.215503330888</v>
      </c>
      <c r="F19" s="52">
        <v>57594.060000000005</v>
      </c>
      <c r="G19" s="52">
        <v>104144.03510668564</v>
      </c>
      <c r="H19" s="52">
        <v>86933</v>
      </c>
    </row>
    <row r="20" spans="1:8" x14ac:dyDescent="0.25">
      <c r="A20" s="5"/>
      <c r="B20" s="4" t="s">
        <v>123</v>
      </c>
      <c r="C20" s="52">
        <v>53792.486772329976</v>
      </c>
      <c r="D20" s="52">
        <v>49376</v>
      </c>
      <c r="E20" s="52">
        <v>76919.112158912758</v>
      </c>
      <c r="F20" s="52">
        <v>68269.820000000007</v>
      </c>
      <c r="G20" s="52">
        <v>103623.41793580519</v>
      </c>
      <c r="H20" s="52">
        <v>87491.01</v>
      </c>
    </row>
    <row r="21" spans="1:8" x14ac:dyDescent="0.25">
      <c r="A21" s="41" t="s">
        <v>97</v>
      </c>
      <c r="B21" s="4" t="s">
        <v>124</v>
      </c>
      <c r="C21" s="52">
        <v>52798.604529282617</v>
      </c>
      <c r="D21" s="52">
        <v>49396.55</v>
      </c>
      <c r="E21" s="52">
        <v>76648.594615803799</v>
      </c>
      <c r="F21" s="52">
        <v>67904.904999999999</v>
      </c>
      <c r="G21" s="52">
        <v>116819.69585310195</v>
      </c>
      <c r="H21" s="52">
        <v>93141.09</v>
      </c>
    </row>
    <row r="22" spans="1:8" x14ac:dyDescent="0.25">
      <c r="A22" s="5"/>
      <c r="B22" s="4" t="s">
        <v>125</v>
      </c>
      <c r="C22" s="52">
        <v>41684.955202068653</v>
      </c>
      <c r="D22" s="52">
        <v>38094.740000000005</v>
      </c>
      <c r="E22" s="52">
        <v>67382.690265001336</v>
      </c>
      <c r="F22" s="52">
        <v>57195.114999999998</v>
      </c>
      <c r="G22" s="52">
        <v>104116.00964477836</v>
      </c>
      <c r="H22" s="52">
        <v>85239.324999999997</v>
      </c>
    </row>
    <row r="23" spans="1:8" x14ac:dyDescent="0.25">
      <c r="A23" s="5"/>
      <c r="B23" s="4" t="s">
        <v>126</v>
      </c>
      <c r="C23" s="52">
        <v>42100.770315476191</v>
      </c>
      <c r="D23" s="52">
        <v>38802.155000000006</v>
      </c>
      <c r="E23" s="52">
        <v>64803.695139116237</v>
      </c>
      <c r="F23" s="52">
        <v>57044.170000000006</v>
      </c>
      <c r="G23" s="52">
        <v>93262.62652686768</v>
      </c>
      <c r="H23" s="52">
        <v>76101</v>
      </c>
    </row>
    <row r="24" spans="1:8" x14ac:dyDescent="0.25">
      <c r="A24" s="5"/>
      <c r="B24" s="4" t="s">
        <v>127</v>
      </c>
      <c r="C24" s="52">
        <v>36518.30736148906</v>
      </c>
      <c r="D24" s="52">
        <v>33230.660000000003</v>
      </c>
      <c r="E24" s="52">
        <v>56707.94487920234</v>
      </c>
      <c r="F24" s="52">
        <v>50837.43</v>
      </c>
      <c r="G24" s="52">
        <v>82710.1893543388</v>
      </c>
      <c r="H24" s="52">
        <v>70977.904999999999</v>
      </c>
    </row>
    <row r="25" spans="1:8" x14ac:dyDescent="0.25">
      <c r="A25" s="5"/>
      <c r="B25" s="4" t="s">
        <v>128</v>
      </c>
      <c r="C25" s="52">
        <v>34436.894826081196</v>
      </c>
      <c r="D25" s="52">
        <v>30350.670000000002</v>
      </c>
      <c r="E25" s="52">
        <v>50713.152228417603</v>
      </c>
      <c r="F25" s="52">
        <v>45022.32</v>
      </c>
      <c r="G25" s="52">
        <v>74845.001160184751</v>
      </c>
      <c r="H25" s="52">
        <v>62830.65</v>
      </c>
    </row>
    <row r="26" spans="1:8" x14ac:dyDescent="0.25">
      <c r="A26" s="5"/>
      <c r="B26" s="4" t="s">
        <v>129</v>
      </c>
      <c r="C26" s="52">
        <v>38809.876077209978</v>
      </c>
      <c r="D26" s="52">
        <v>35600.595000000001</v>
      </c>
      <c r="E26" s="52">
        <v>57741.308137593704</v>
      </c>
      <c r="F26" s="52">
        <v>51837.22</v>
      </c>
      <c r="G26" s="52">
        <v>79854.426403552425</v>
      </c>
      <c r="H26" s="52">
        <v>68804.149999999994</v>
      </c>
    </row>
    <row r="27" spans="1:8" x14ac:dyDescent="0.25">
      <c r="A27" s="5"/>
      <c r="B27" s="4"/>
      <c r="C27" s="4"/>
      <c r="D27" s="4"/>
      <c r="E27" s="4"/>
      <c r="F27" s="4"/>
      <c r="G27" s="4"/>
      <c r="H27" s="4"/>
    </row>
    <row r="28" spans="1:8" x14ac:dyDescent="0.25">
      <c r="A28" s="41" t="s">
        <v>130</v>
      </c>
      <c r="B28" s="4"/>
      <c r="C28" s="52">
        <v>45202.377675337259</v>
      </c>
      <c r="D28" s="52">
        <v>40221.94</v>
      </c>
      <c r="E28" s="52">
        <v>66899.500662893901</v>
      </c>
      <c r="F28" s="52">
        <v>58609.36</v>
      </c>
      <c r="G28" s="52">
        <v>98838.888373419395</v>
      </c>
      <c r="H28" s="52">
        <v>81342.720000000001</v>
      </c>
    </row>
    <row r="29" spans="1:8" x14ac:dyDescent="0.25">
      <c r="A29" s="3"/>
      <c r="B29" s="4"/>
      <c r="C29" s="5"/>
      <c r="D29" s="5"/>
      <c r="E29" s="5"/>
      <c r="F29" s="5"/>
      <c r="G29" s="5"/>
      <c r="H29" s="5"/>
    </row>
    <row r="30" spans="1:8" x14ac:dyDescent="0.25">
      <c r="A30" s="7" t="s">
        <v>131</v>
      </c>
      <c r="B30" s="4"/>
      <c r="C30" s="5"/>
      <c r="D30" s="5"/>
      <c r="E30" s="5"/>
      <c r="F30" s="5"/>
      <c r="G30" s="5"/>
      <c r="H30" s="5"/>
    </row>
    <row r="31" spans="1:8" x14ac:dyDescent="0.25">
      <c r="A31" s="7" t="s">
        <v>140</v>
      </c>
      <c r="B31" s="4"/>
      <c r="C31" s="5"/>
      <c r="D31" s="5"/>
      <c r="E31" s="5"/>
      <c r="F31" s="5"/>
      <c r="G31" s="5"/>
      <c r="H31" s="5"/>
    </row>
  </sheetData>
  <mergeCells count="3">
    <mergeCell ref="C3:D3"/>
    <mergeCell ref="E3:F3"/>
    <mergeCell ref="G3:H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sheetViews>
  <sheetFormatPr defaultRowHeight="15" x14ac:dyDescent="0.25"/>
  <cols>
    <col min="1" max="1" width="36.85546875" style="54" customWidth="1"/>
    <col min="2" max="20" width="12.7109375" style="54" customWidth="1"/>
    <col min="21" max="16384" width="9.140625" style="54"/>
  </cols>
  <sheetData>
    <row r="1" spans="1:19" x14ac:dyDescent="0.25">
      <c r="A1" s="53" t="s">
        <v>141</v>
      </c>
    </row>
    <row r="3" spans="1:19" x14ac:dyDescent="0.25">
      <c r="A3" s="58"/>
      <c r="B3" s="89" t="s">
        <v>94</v>
      </c>
      <c r="C3" s="90"/>
      <c r="D3" s="89" t="s">
        <v>89</v>
      </c>
      <c r="E3" s="90"/>
      <c r="F3" s="89" t="s">
        <v>132</v>
      </c>
      <c r="G3" s="90"/>
      <c r="H3" s="89" t="s">
        <v>142</v>
      </c>
      <c r="I3" s="90"/>
      <c r="J3" s="89" t="s">
        <v>95</v>
      </c>
      <c r="K3" s="90"/>
      <c r="L3" s="89" t="s">
        <v>96</v>
      </c>
      <c r="M3" s="90"/>
      <c r="N3" s="89" t="s">
        <v>133</v>
      </c>
      <c r="O3" s="90"/>
      <c r="P3" s="89" t="s">
        <v>134</v>
      </c>
      <c r="Q3" s="90"/>
      <c r="R3" s="89" t="s">
        <v>97</v>
      </c>
      <c r="S3" s="90"/>
    </row>
    <row r="4" spans="1:19" ht="43.5" customHeight="1" x14ac:dyDescent="0.25">
      <c r="A4" s="59" t="s">
        <v>143</v>
      </c>
      <c r="B4" s="60" t="s">
        <v>144</v>
      </c>
      <c r="C4" s="60" t="s">
        <v>145</v>
      </c>
      <c r="D4" s="60" t="s">
        <v>144</v>
      </c>
      <c r="E4" s="60" t="s">
        <v>145</v>
      </c>
      <c r="F4" s="60" t="s">
        <v>144</v>
      </c>
      <c r="G4" s="60" t="s">
        <v>145</v>
      </c>
      <c r="H4" s="60" t="s">
        <v>144</v>
      </c>
      <c r="I4" s="60" t="s">
        <v>145</v>
      </c>
      <c r="J4" s="60" t="s">
        <v>144</v>
      </c>
      <c r="K4" s="60" t="s">
        <v>145</v>
      </c>
      <c r="L4" s="60" t="s">
        <v>144</v>
      </c>
      <c r="M4" s="60" t="s">
        <v>145</v>
      </c>
      <c r="N4" s="60" t="s">
        <v>144</v>
      </c>
      <c r="O4" s="60" t="s">
        <v>145</v>
      </c>
      <c r="P4" s="60" t="s">
        <v>144</v>
      </c>
      <c r="Q4" s="60" t="s">
        <v>145</v>
      </c>
      <c r="R4" s="60" t="s">
        <v>144</v>
      </c>
      <c r="S4" s="60" t="s">
        <v>145</v>
      </c>
    </row>
    <row r="5" spans="1:19" x14ac:dyDescent="0.25">
      <c r="A5" s="55" t="s">
        <v>146</v>
      </c>
      <c r="B5" s="56">
        <v>4.7316127468799221E-2</v>
      </c>
      <c r="C5" s="57">
        <v>68234.11</v>
      </c>
      <c r="D5" s="56">
        <v>7.0229761263686949E-2</v>
      </c>
      <c r="E5" s="57">
        <v>88748.44</v>
      </c>
      <c r="F5" s="56">
        <v>0.15560946027895695</v>
      </c>
      <c r="G5" s="57">
        <v>106201.31</v>
      </c>
      <c r="H5" s="56">
        <v>6.980041443996074E-2</v>
      </c>
      <c r="I5" s="57">
        <v>85825.55</v>
      </c>
      <c r="J5" s="56">
        <v>2.5409212028930338E-2</v>
      </c>
      <c r="K5" s="57">
        <v>78912.36</v>
      </c>
      <c r="L5" s="56">
        <v>7.7114657319435481E-2</v>
      </c>
      <c r="M5" s="57">
        <v>90640.16</v>
      </c>
      <c r="N5" s="56">
        <v>2.6116259477674809E-2</v>
      </c>
      <c r="O5" s="57">
        <v>79261.94</v>
      </c>
      <c r="P5" s="56">
        <v>4.3428571428571427E-2</v>
      </c>
      <c r="Q5" s="57">
        <v>67630.854999999996</v>
      </c>
      <c r="R5" s="56">
        <v>4.6326792868481584E-2</v>
      </c>
      <c r="S5" s="57">
        <v>80299.055000000008</v>
      </c>
    </row>
    <row r="6" spans="1:19" x14ac:dyDescent="0.25">
      <c r="A6" s="55" t="s">
        <v>147</v>
      </c>
      <c r="B6" s="56">
        <v>4.1762591380911991E-2</v>
      </c>
      <c r="C6" s="57">
        <v>60615.935000000005</v>
      </c>
      <c r="D6" s="56">
        <v>1.6155088852988692E-2</v>
      </c>
      <c r="E6" s="57">
        <v>77377.439999999988</v>
      </c>
      <c r="F6" s="56">
        <v>5.9126743480897512E-3</v>
      </c>
      <c r="G6" s="57">
        <v>109032.95</v>
      </c>
      <c r="H6" s="56">
        <v>3.8172101646853529E-2</v>
      </c>
      <c r="I6" s="57">
        <v>66777.354999999996</v>
      </c>
      <c r="J6" s="56">
        <v>8.5966247938078916E-3</v>
      </c>
      <c r="K6" s="57">
        <v>64600</v>
      </c>
      <c r="L6" s="56">
        <v>7.8406051102296835E-3</v>
      </c>
      <c r="M6" s="57">
        <v>82100.789999999994</v>
      </c>
      <c r="N6" s="56">
        <v>2.5273799494524012E-2</v>
      </c>
      <c r="O6" s="57">
        <v>51105.314999999995</v>
      </c>
      <c r="P6" s="56">
        <v>1.2571428571428572E-2</v>
      </c>
      <c r="Q6" s="57">
        <v>106931</v>
      </c>
      <c r="R6" s="56">
        <v>5.0181959547746832E-2</v>
      </c>
      <c r="S6" s="57">
        <v>64827.360000000001</v>
      </c>
    </row>
    <row r="7" spans="1:19" x14ac:dyDescent="0.25">
      <c r="A7" s="55" t="s">
        <v>148</v>
      </c>
      <c r="B7" s="56">
        <v>3.3442384587422755E-2</v>
      </c>
      <c r="C7" s="57">
        <v>64000.095000000001</v>
      </c>
      <c r="D7" s="56">
        <v>2.7508526296894632E-2</v>
      </c>
      <c r="E7" s="57">
        <v>74518.06</v>
      </c>
      <c r="F7" s="56">
        <v>2.9896907216494847E-2</v>
      </c>
      <c r="G7" s="57">
        <v>87233.664999999994</v>
      </c>
      <c r="H7" s="56">
        <v>4.00625295379358E-2</v>
      </c>
      <c r="I7" s="57">
        <v>78610.925000000003</v>
      </c>
      <c r="J7" s="56">
        <v>5.040603984265956E-2</v>
      </c>
      <c r="K7" s="57">
        <v>74748.08</v>
      </c>
      <c r="L7" s="56">
        <v>2.9517572179688222E-2</v>
      </c>
      <c r="M7" s="57">
        <v>74772.945000000007</v>
      </c>
      <c r="N7" s="56">
        <v>8.8458298230834037E-2</v>
      </c>
      <c r="O7" s="57">
        <v>70018.11</v>
      </c>
      <c r="P7" s="56">
        <v>6.6285714285714281E-2</v>
      </c>
      <c r="Q7" s="57">
        <v>56283.030000000006</v>
      </c>
      <c r="R7" s="56">
        <v>6.2773344276103371E-2</v>
      </c>
      <c r="S7" s="57">
        <v>70263.59</v>
      </c>
    </row>
    <row r="8" spans="1:19" x14ac:dyDescent="0.25">
      <c r="A8" s="55" t="s">
        <v>149</v>
      </c>
      <c r="B8" s="56">
        <v>4.6165030897855328E-2</v>
      </c>
      <c r="C8" s="57">
        <v>55722.42</v>
      </c>
      <c r="D8" s="56">
        <v>0.17178244480344643</v>
      </c>
      <c r="E8" s="57">
        <v>72869.5</v>
      </c>
      <c r="F8" s="56">
        <v>2.9593693147362037E-2</v>
      </c>
      <c r="G8" s="57">
        <v>98606.58</v>
      </c>
      <c r="H8" s="56">
        <v>7.8634529392518263E-2</v>
      </c>
      <c r="I8" s="57">
        <v>66487.61</v>
      </c>
      <c r="J8" s="56">
        <v>2.5314046440807005E-2</v>
      </c>
      <c r="K8" s="57">
        <v>61941.24</v>
      </c>
      <c r="L8" s="56">
        <v>9.0120837561110598E-2</v>
      </c>
      <c r="M8" s="57">
        <v>76766.720000000001</v>
      </c>
      <c r="N8" s="56">
        <v>2.780117944397641E-2</v>
      </c>
      <c r="O8" s="57">
        <v>54610.950000000004</v>
      </c>
      <c r="P8" s="56">
        <v>0.04</v>
      </c>
      <c r="Q8" s="57">
        <v>56292</v>
      </c>
      <c r="R8" s="56">
        <v>8.9597529237713677E-2</v>
      </c>
      <c r="S8" s="57">
        <v>64620</v>
      </c>
    </row>
    <row r="9" spans="1:19" x14ac:dyDescent="0.25">
      <c r="A9" s="55" t="s">
        <v>135</v>
      </c>
      <c r="B9" s="56">
        <v>3.3664526030938245E-2</v>
      </c>
      <c r="C9" s="57">
        <v>48916</v>
      </c>
      <c r="D9" s="56">
        <v>5.8382696104828574E-2</v>
      </c>
      <c r="E9" s="57">
        <v>71313.600000000006</v>
      </c>
      <c r="F9" s="56">
        <v>0.27677380230442694</v>
      </c>
      <c r="G9" s="57">
        <v>90013.35</v>
      </c>
      <c r="H9" s="56">
        <v>5.1405096884429416E-2</v>
      </c>
      <c r="I9" s="57">
        <v>67209.384999999995</v>
      </c>
      <c r="J9" s="56">
        <v>0.1046187032102525</v>
      </c>
      <c r="K9" s="57">
        <v>66497.564999999988</v>
      </c>
      <c r="L9" s="56">
        <v>0.11631768287058389</v>
      </c>
      <c r="M9" s="57">
        <v>67771.759999999995</v>
      </c>
      <c r="N9" s="56">
        <v>1.7691659646166806E-2</v>
      </c>
      <c r="O9" s="57">
        <v>43848.58</v>
      </c>
      <c r="P9" s="56">
        <v>3.8857142857142854E-2</v>
      </c>
      <c r="Q9" s="57">
        <v>74301.799999999988</v>
      </c>
      <c r="R9" s="56">
        <v>3.4469725602842241E-2</v>
      </c>
      <c r="S9" s="57">
        <v>62257.170000000006</v>
      </c>
    </row>
    <row r="10" spans="1:19" x14ac:dyDescent="0.25">
      <c r="A10" s="55" t="s">
        <v>150</v>
      </c>
      <c r="B10" s="56">
        <v>5.1314673452078033E-2</v>
      </c>
      <c r="C10" s="57">
        <v>51903.86</v>
      </c>
      <c r="D10" s="56">
        <v>0.18515526835397594</v>
      </c>
      <c r="E10" s="57">
        <v>78850.16</v>
      </c>
      <c r="F10" s="56">
        <v>4.5148574893875075E-2</v>
      </c>
      <c r="G10" s="57">
        <v>88204.61</v>
      </c>
      <c r="H10" s="56">
        <v>8.1288399316537613E-2</v>
      </c>
      <c r="I10" s="57">
        <v>64565.17</v>
      </c>
      <c r="J10" s="56">
        <v>4.2380408577591677E-2</v>
      </c>
      <c r="K10" s="57">
        <v>59436.095000000001</v>
      </c>
      <c r="L10" s="56">
        <v>7.3886172862282079E-2</v>
      </c>
      <c r="M10" s="57">
        <v>71383.47</v>
      </c>
      <c r="N10" s="56">
        <v>2.358887952822241E-2</v>
      </c>
      <c r="O10" s="57">
        <v>47202.62</v>
      </c>
      <c r="P10" s="56">
        <v>4.8000000000000001E-2</v>
      </c>
      <c r="Q10" s="57">
        <v>63854.085000000006</v>
      </c>
      <c r="R10" s="56">
        <v>6.3810027752880583E-2</v>
      </c>
      <c r="S10" s="57">
        <v>65716.990000000005</v>
      </c>
    </row>
    <row r="11" spans="1:19" x14ac:dyDescent="0.25">
      <c r="A11" s="55" t="s">
        <v>151</v>
      </c>
      <c r="B11" s="56">
        <v>8.380790823538915E-3</v>
      </c>
      <c r="C11" s="57">
        <v>57836.090000000004</v>
      </c>
      <c r="D11" s="56">
        <v>1.2340692873810805E-2</v>
      </c>
      <c r="E11" s="57">
        <v>69273.51999999999</v>
      </c>
      <c r="F11" s="56">
        <v>0.13596118859915099</v>
      </c>
      <c r="G11" s="57">
        <v>81238.805000000008</v>
      </c>
      <c r="H11" s="56">
        <v>1.6613952812011487E-2</v>
      </c>
      <c r="I11" s="57">
        <v>63198</v>
      </c>
      <c r="J11" s="56">
        <v>9.2374064205050122E-2</v>
      </c>
      <c r="K11" s="57">
        <v>59105.004999999997</v>
      </c>
      <c r="L11" s="56">
        <v>8.8368231712941614E-2</v>
      </c>
      <c r="M11" s="57">
        <v>63828.514999999999</v>
      </c>
      <c r="N11" s="56">
        <v>6.7396798652064023E-3</v>
      </c>
      <c r="O11" s="57">
        <v>53796.044999999998</v>
      </c>
      <c r="P11" s="56">
        <v>3.4285714285714287E-2</v>
      </c>
      <c r="Q11" s="57">
        <v>58889.115000000005</v>
      </c>
      <c r="R11" s="56">
        <v>1.2094640562400786E-2</v>
      </c>
      <c r="S11" s="57">
        <v>61706.590000000004</v>
      </c>
    </row>
    <row r="12" spans="1:19" x14ac:dyDescent="0.25">
      <c r="A12" s="55" t="s">
        <v>152</v>
      </c>
      <c r="B12" s="56">
        <v>9.5904519568641711E-2</v>
      </c>
      <c r="C12" s="57">
        <v>44708.75</v>
      </c>
      <c r="D12" s="56">
        <v>4.4291868605277326E-2</v>
      </c>
      <c r="E12" s="57">
        <v>68850.539999999994</v>
      </c>
      <c r="F12" s="56">
        <v>4.0206185567010312E-2</v>
      </c>
      <c r="G12" s="57">
        <v>96827.790000000008</v>
      </c>
      <c r="H12" s="56">
        <v>6.3692878176464171E-2</v>
      </c>
      <c r="I12" s="57">
        <v>54680.724999999999</v>
      </c>
      <c r="J12" s="56">
        <v>1.2276360867910164E-2</v>
      </c>
      <c r="K12" s="57">
        <v>54968.03</v>
      </c>
      <c r="L12" s="56">
        <v>2.398302739599668E-2</v>
      </c>
      <c r="M12" s="57">
        <v>70906.744999999995</v>
      </c>
      <c r="N12" s="56">
        <v>2.780117944397641E-2</v>
      </c>
      <c r="O12" s="57">
        <v>32887.280000000006</v>
      </c>
      <c r="P12" s="56">
        <v>1.3714285714285714E-2</v>
      </c>
      <c r="Q12" s="57">
        <v>60692.74</v>
      </c>
      <c r="R12" s="56">
        <v>3.7417794239927429E-2</v>
      </c>
      <c r="S12" s="57">
        <v>55268.41</v>
      </c>
    </row>
    <row r="13" spans="1:19" x14ac:dyDescent="0.25">
      <c r="A13" s="55" t="s">
        <v>136</v>
      </c>
      <c r="B13" s="56">
        <v>0.12761016196130701</v>
      </c>
      <c r="C13" s="57">
        <v>54536.83</v>
      </c>
      <c r="D13" s="56">
        <v>1.3552324537784958E-2</v>
      </c>
      <c r="E13" s="57">
        <v>55410.990000000005</v>
      </c>
      <c r="F13" s="56">
        <v>6.9436021831412974E-3</v>
      </c>
      <c r="G13" s="57">
        <v>55939.97</v>
      </c>
      <c r="H13" s="56">
        <v>4.5515686916057729E-2</v>
      </c>
      <c r="I13" s="57">
        <v>54360.36</v>
      </c>
      <c r="J13" s="56">
        <v>4.5552594848369495E-2</v>
      </c>
      <c r="K13" s="57">
        <v>56199.42</v>
      </c>
      <c r="L13" s="56">
        <v>0.10607877502075454</v>
      </c>
      <c r="M13" s="57">
        <v>60567.435000000005</v>
      </c>
      <c r="N13" s="56">
        <v>0.10783487784330244</v>
      </c>
      <c r="O13" s="57">
        <v>50749.66</v>
      </c>
      <c r="P13" s="56">
        <v>2.5142857142857144E-2</v>
      </c>
      <c r="Q13" s="57">
        <v>55937.99</v>
      </c>
      <c r="R13" s="56">
        <v>8.0440158526181652E-2</v>
      </c>
      <c r="S13" s="57">
        <v>55138.590000000004</v>
      </c>
    </row>
    <row r="14" spans="1:19" x14ac:dyDescent="0.25">
      <c r="A14" s="55" t="s">
        <v>153</v>
      </c>
      <c r="B14" s="56">
        <v>3.7420735894018335E-2</v>
      </c>
      <c r="C14" s="57">
        <v>41912.480000000003</v>
      </c>
      <c r="D14" s="56">
        <v>2.6970023335128344E-2</v>
      </c>
      <c r="E14" s="57">
        <v>57221.390000000007</v>
      </c>
      <c r="F14" s="56">
        <v>1.0430563978168586E-2</v>
      </c>
      <c r="G14" s="57">
        <v>73138.625</v>
      </c>
      <c r="H14" s="56">
        <v>6.1620678372777841E-2</v>
      </c>
      <c r="I14" s="57">
        <v>58932.4</v>
      </c>
      <c r="J14" s="56">
        <v>0.20121177515543712</v>
      </c>
      <c r="K14" s="57">
        <v>55591.380000000005</v>
      </c>
      <c r="L14" s="56">
        <v>5.0733327183839126E-2</v>
      </c>
      <c r="M14" s="57">
        <v>53252.020000000004</v>
      </c>
      <c r="N14" s="56">
        <v>9.9410278011794445E-2</v>
      </c>
      <c r="O14" s="57">
        <v>48357.435000000005</v>
      </c>
      <c r="P14" s="56">
        <v>0.29371428571428571</v>
      </c>
      <c r="Q14" s="57">
        <v>56318.47</v>
      </c>
      <c r="R14" s="56">
        <v>7.8658358800470826E-2</v>
      </c>
      <c r="S14" s="57">
        <v>48166.425000000003</v>
      </c>
    </row>
    <row r="15" spans="1:19" x14ac:dyDescent="0.25">
      <c r="A15" s="55" t="s">
        <v>154</v>
      </c>
      <c r="B15" s="56">
        <v>0.11040429742719819</v>
      </c>
      <c r="C15" s="57">
        <v>41032.620000000003</v>
      </c>
      <c r="D15" s="56">
        <v>0.12291330102315563</v>
      </c>
      <c r="E15" s="57">
        <v>57377.770000000004</v>
      </c>
      <c r="F15" s="56">
        <v>7.5439660400242567E-2</v>
      </c>
      <c r="G15" s="57">
        <v>81403.705000000002</v>
      </c>
      <c r="H15" s="56">
        <v>0.10390082524448323</v>
      </c>
      <c r="I15" s="57">
        <v>56849.254999999997</v>
      </c>
      <c r="J15" s="56">
        <v>7.7718563634056589E-2</v>
      </c>
      <c r="K15" s="57">
        <v>52764.51</v>
      </c>
      <c r="L15" s="56">
        <v>6.8259385665529013E-2</v>
      </c>
      <c r="M15" s="57">
        <v>57466.41</v>
      </c>
      <c r="N15" s="56">
        <v>7.4136478517270427E-2</v>
      </c>
      <c r="O15" s="57">
        <v>32742.765000000003</v>
      </c>
      <c r="P15" s="56">
        <v>5.9428571428571428E-2</v>
      </c>
      <c r="Q15" s="57">
        <v>58313.599999999999</v>
      </c>
      <c r="R15" s="56">
        <v>9.360387892400894E-2</v>
      </c>
      <c r="S15" s="57">
        <v>51219.145000000004</v>
      </c>
    </row>
    <row r="16" spans="1:19" x14ac:dyDescent="0.25">
      <c r="A16" s="55" t="s">
        <v>155</v>
      </c>
      <c r="B16" s="56">
        <v>5.9473322832101459E-2</v>
      </c>
      <c r="C16" s="57">
        <v>45344.26</v>
      </c>
      <c r="D16" s="56">
        <v>1.8668102674564709E-2</v>
      </c>
      <c r="E16" s="57">
        <v>52454.41</v>
      </c>
      <c r="F16" s="56">
        <v>2.6197695573074591E-2</v>
      </c>
      <c r="G16" s="57">
        <v>62903.055</v>
      </c>
      <c r="H16" s="56">
        <v>4.7187988512015125E-2</v>
      </c>
      <c r="I16" s="57">
        <v>50667.07</v>
      </c>
      <c r="J16" s="56">
        <v>9.3420885674406803E-2</v>
      </c>
      <c r="K16" s="57">
        <v>48103.74</v>
      </c>
      <c r="L16" s="56">
        <v>7.1580112535743937E-2</v>
      </c>
      <c r="M16" s="57">
        <v>52442.76</v>
      </c>
      <c r="N16" s="56">
        <v>7.6663858466722828E-2</v>
      </c>
      <c r="O16" s="57">
        <v>48290.400000000001</v>
      </c>
      <c r="P16" s="56">
        <v>9.3714285714285708E-2</v>
      </c>
      <c r="Q16" s="57">
        <v>52597.654999999999</v>
      </c>
      <c r="R16" s="56">
        <v>5.40803213718778E-2</v>
      </c>
      <c r="S16" s="57">
        <v>49243.185000000005</v>
      </c>
    </row>
    <row r="17" spans="1:19" x14ac:dyDescent="0.25">
      <c r="A17" s="55" t="s">
        <v>156</v>
      </c>
      <c r="B17" s="56">
        <v>2.2961347388828306E-2</v>
      </c>
      <c r="C17" s="57">
        <v>35004.42</v>
      </c>
      <c r="D17" s="56">
        <v>7.1800394902171959E-3</v>
      </c>
      <c r="E17" s="57">
        <v>45510.28</v>
      </c>
      <c r="F17" s="56">
        <v>4.0630685263796243E-3</v>
      </c>
      <c r="G17" s="57">
        <v>60078.1</v>
      </c>
      <c r="H17" s="56">
        <v>1.8213545642927254E-2</v>
      </c>
      <c r="I17" s="57">
        <v>43072.46</v>
      </c>
      <c r="J17" s="56">
        <v>1.392589772871463E-2</v>
      </c>
      <c r="K17" s="57">
        <v>36902.94</v>
      </c>
      <c r="L17" s="56">
        <v>8.6707868277834145E-3</v>
      </c>
      <c r="M17" s="57">
        <v>38551.020000000004</v>
      </c>
      <c r="N17" s="56">
        <v>0.10783487784330244</v>
      </c>
      <c r="O17" s="57">
        <v>42306.985000000001</v>
      </c>
      <c r="P17" s="56">
        <v>3.2000000000000001E-2</v>
      </c>
      <c r="Q17" s="57">
        <v>46376.26</v>
      </c>
      <c r="R17" s="56">
        <v>4.5354902109002948E-2</v>
      </c>
      <c r="S17" s="57">
        <v>40565.905000000006</v>
      </c>
    </row>
    <row r="18" spans="1:19" x14ac:dyDescent="0.25">
      <c r="A18" s="55" t="s">
        <v>157</v>
      </c>
      <c r="B18" s="56">
        <v>7.2397915909366298E-2</v>
      </c>
      <c r="C18" s="57">
        <v>29148.27</v>
      </c>
      <c r="D18" s="56">
        <v>3.8099084544964995E-2</v>
      </c>
      <c r="E18" s="57">
        <v>46555.040000000001</v>
      </c>
      <c r="F18" s="56">
        <v>1.2856276531231049E-2</v>
      </c>
      <c r="G18" s="57">
        <v>62254.055</v>
      </c>
      <c r="H18" s="56">
        <v>5.81306576507798E-2</v>
      </c>
      <c r="I18" s="57">
        <v>39199.82</v>
      </c>
      <c r="J18" s="56">
        <v>4.2221799264052784E-2</v>
      </c>
      <c r="K18" s="57">
        <v>31805.84</v>
      </c>
      <c r="L18" s="56">
        <v>2.6750299787842449E-2</v>
      </c>
      <c r="M18" s="57">
        <v>38493.355000000003</v>
      </c>
      <c r="N18" s="56">
        <v>7.5821398483572028E-2</v>
      </c>
      <c r="O18" s="57">
        <v>23096.614999999998</v>
      </c>
      <c r="P18" s="56">
        <v>0.04</v>
      </c>
      <c r="Q18" s="57">
        <v>42092.520000000004</v>
      </c>
      <c r="R18" s="56">
        <v>5.1272636955606188E-2</v>
      </c>
      <c r="S18" s="57">
        <v>34601.395000000004</v>
      </c>
    </row>
    <row r="19" spans="1:19" x14ac:dyDescent="0.25">
      <c r="A19" s="55" t="s">
        <v>158</v>
      </c>
      <c r="B19" s="56">
        <v>0.21178157437699421</v>
      </c>
      <c r="C19" s="57">
        <v>42380.07</v>
      </c>
      <c r="D19" s="56">
        <v>0.18677077723927482</v>
      </c>
      <c r="E19" s="57">
        <v>61012.255000000005</v>
      </c>
      <c r="F19" s="56">
        <v>0.1449666464523954</v>
      </c>
      <c r="G19" s="57">
        <v>82426.25</v>
      </c>
      <c r="H19" s="56">
        <v>0.225760715454248</v>
      </c>
      <c r="I19" s="57">
        <v>54007.514999999999</v>
      </c>
      <c r="J19" s="56">
        <v>0.16457302372795329</v>
      </c>
      <c r="K19" s="57">
        <v>47990.479999999996</v>
      </c>
      <c r="L19" s="56">
        <v>0.16077852596623929</v>
      </c>
      <c r="M19" s="57">
        <v>55443</v>
      </c>
      <c r="N19" s="56">
        <v>0.21482729570345407</v>
      </c>
      <c r="O19" s="57">
        <v>40527.24</v>
      </c>
      <c r="P19" s="56">
        <v>0.15885714285714286</v>
      </c>
      <c r="Q19" s="57">
        <v>50208.25</v>
      </c>
      <c r="R19" s="56">
        <v>0.19991792922475513</v>
      </c>
      <c r="S19" s="57">
        <v>50000</v>
      </c>
    </row>
    <row r="21" spans="1:19" x14ac:dyDescent="0.25">
      <c r="A21" s="10" t="s">
        <v>159</v>
      </c>
    </row>
  </sheetData>
  <mergeCells count="9">
    <mergeCell ref="L3:M3"/>
    <mergeCell ref="N3:O3"/>
    <mergeCell ref="P3:Q3"/>
    <mergeCell ref="R3:S3"/>
    <mergeCell ref="B3:C3"/>
    <mergeCell ref="D3:E3"/>
    <mergeCell ref="F3:G3"/>
    <mergeCell ref="H3:I3"/>
    <mergeCell ref="J3:K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8"/>
  <sheetViews>
    <sheetView workbookViewId="0"/>
  </sheetViews>
  <sheetFormatPr defaultColWidth="9.140625" defaultRowHeight="15" x14ac:dyDescent="0.25"/>
  <cols>
    <col min="1" max="1" width="30.42578125" style="4" customWidth="1"/>
    <col min="2" max="2" width="19.5703125" style="4" customWidth="1"/>
    <col min="3" max="4" width="8.28515625" style="4" bestFit="1" customWidth="1"/>
    <col min="5" max="8" width="9.28515625" style="4" bestFit="1" customWidth="1"/>
    <col min="9" max="16384" width="9.140625" style="4"/>
  </cols>
  <sheetData>
    <row r="1" spans="1:12" x14ac:dyDescent="0.25">
      <c r="A1" s="6" t="s">
        <v>138</v>
      </c>
    </row>
    <row r="2" spans="1:12" ht="15" customHeight="1" x14ac:dyDescent="0.25">
      <c r="A2" s="1" t="s">
        <v>168</v>
      </c>
      <c r="B2" s="1" t="s">
        <v>25</v>
      </c>
      <c r="C2" s="1" t="s">
        <v>26</v>
      </c>
      <c r="D2" s="1" t="s">
        <v>27</v>
      </c>
      <c r="E2" s="1" t="s">
        <v>28</v>
      </c>
      <c r="F2" s="1" t="s">
        <v>29</v>
      </c>
      <c r="G2" s="1" t="s">
        <v>30</v>
      </c>
      <c r="H2" s="1" t="s">
        <v>31</v>
      </c>
      <c r="I2" s="1" t="s">
        <v>169</v>
      </c>
      <c r="J2" s="1" t="s">
        <v>45</v>
      </c>
      <c r="K2" s="1" t="s">
        <v>46</v>
      </c>
      <c r="L2" s="1" t="s">
        <v>170</v>
      </c>
    </row>
    <row r="3" spans="1:12" ht="15" customHeight="1" x14ac:dyDescent="0.25">
      <c r="A3" s="1" t="s">
        <v>171</v>
      </c>
      <c r="B3" s="20">
        <v>0.06</v>
      </c>
      <c r="C3" s="20">
        <v>0.06</v>
      </c>
      <c r="D3" s="20">
        <v>7.0000000000000007E-2</v>
      </c>
      <c r="E3" s="20">
        <v>0.08</v>
      </c>
      <c r="F3" s="20">
        <v>0.04</v>
      </c>
      <c r="G3" s="20">
        <v>0.04</v>
      </c>
      <c r="H3" s="20">
        <v>7.0000000000000007E-2</v>
      </c>
      <c r="I3" s="20">
        <v>0.17</v>
      </c>
      <c r="J3" s="20">
        <v>0.03</v>
      </c>
      <c r="K3" s="20">
        <v>0.02</v>
      </c>
      <c r="L3" s="20">
        <v>0.06</v>
      </c>
    </row>
    <row r="4" spans="1:12" ht="15" customHeight="1" x14ac:dyDescent="0.25">
      <c r="A4" s="1" t="s">
        <v>172</v>
      </c>
      <c r="B4" s="20">
        <v>0.04</v>
      </c>
      <c r="C4" s="20">
        <v>0.03</v>
      </c>
      <c r="D4" s="20">
        <v>0.04</v>
      </c>
      <c r="E4" s="20">
        <v>0.04</v>
      </c>
      <c r="F4" s="20">
        <v>0.03</v>
      </c>
      <c r="G4" s="20">
        <v>0.05</v>
      </c>
      <c r="H4" s="20">
        <v>0.04</v>
      </c>
      <c r="I4" s="1"/>
      <c r="J4" s="20">
        <v>0.04</v>
      </c>
      <c r="K4" s="20">
        <v>0.02</v>
      </c>
      <c r="L4" s="20">
        <v>0.04</v>
      </c>
    </row>
    <row r="5" spans="1:12" ht="15" customHeight="1" x14ac:dyDescent="0.25">
      <c r="A5" s="1" t="s">
        <v>173</v>
      </c>
      <c r="B5" s="20">
        <v>7.0000000000000007E-2</v>
      </c>
      <c r="C5" s="20">
        <v>0.03</v>
      </c>
      <c r="D5" s="20">
        <v>0.03</v>
      </c>
      <c r="E5" s="20">
        <v>7.0000000000000007E-2</v>
      </c>
      <c r="F5" s="20">
        <v>0.02</v>
      </c>
      <c r="G5" s="20">
        <v>0.02</v>
      </c>
      <c r="H5" s="20">
        <v>0.04</v>
      </c>
      <c r="I5" s="1"/>
      <c r="J5" s="20">
        <v>0.04</v>
      </c>
      <c r="K5" s="20">
        <v>0.02</v>
      </c>
      <c r="L5" s="20">
        <v>0.04</v>
      </c>
    </row>
    <row r="6" spans="1:12" ht="15" customHeight="1" x14ac:dyDescent="0.25">
      <c r="A6" s="1" t="s">
        <v>174</v>
      </c>
      <c r="B6" s="20">
        <v>0.06</v>
      </c>
      <c r="C6" s="20">
        <v>0.04</v>
      </c>
      <c r="D6" s="20">
        <v>0.03</v>
      </c>
      <c r="E6" s="20">
        <v>0.04</v>
      </c>
      <c r="F6" s="20">
        <v>0.05</v>
      </c>
      <c r="G6" s="20">
        <v>0.02</v>
      </c>
      <c r="H6" s="20">
        <v>0.04</v>
      </c>
      <c r="I6" s="1"/>
      <c r="J6" s="20">
        <v>0.03</v>
      </c>
      <c r="K6" s="20">
        <v>0.03</v>
      </c>
      <c r="L6" s="20">
        <v>0.04</v>
      </c>
    </row>
    <row r="7" spans="1:12" ht="15" customHeight="1" x14ac:dyDescent="0.25">
      <c r="A7" s="1" t="s">
        <v>175</v>
      </c>
      <c r="B7" s="20">
        <v>0.2</v>
      </c>
      <c r="C7" s="20">
        <v>0.19</v>
      </c>
      <c r="D7" s="20">
        <v>0.2</v>
      </c>
      <c r="E7" s="20">
        <v>0.21</v>
      </c>
      <c r="F7" s="20">
        <v>0.25</v>
      </c>
      <c r="G7" s="20">
        <v>0.21</v>
      </c>
      <c r="H7" s="20">
        <v>0.21</v>
      </c>
      <c r="I7" s="20">
        <v>0.09</v>
      </c>
      <c r="J7" s="20">
        <v>0.19</v>
      </c>
      <c r="K7" s="20">
        <v>0.22</v>
      </c>
      <c r="L7" s="20">
        <v>0.2</v>
      </c>
    </row>
    <row r="8" spans="1:12" ht="15" customHeight="1" x14ac:dyDescent="0.25">
      <c r="A8" s="5"/>
      <c r="C8" s="40"/>
      <c r="D8" s="40"/>
      <c r="E8" s="40"/>
      <c r="F8" s="40"/>
      <c r="G8" s="40"/>
      <c r="H8" s="40"/>
    </row>
    <row r="9" spans="1:12" ht="15" customHeight="1" x14ac:dyDescent="0.25">
      <c r="A9" s="41"/>
      <c r="C9" s="40"/>
      <c r="D9" s="40"/>
      <c r="E9" s="40"/>
      <c r="F9" s="40"/>
      <c r="G9" s="40"/>
      <c r="H9" s="40"/>
    </row>
    <row r="10" spans="1:12" ht="15" customHeight="1" x14ac:dyDescent="0.25">
      <c r="A10" s="5"/>
      <c r="C10" s="40"/>
      <c r="D10" s="40"/>
      <c r="E10" s="40"/>
      <c r="F10" s="40"/>
      <c r="G10" s="40"/>
      <c r="H10" s="40"/>
    </row>
    <row r="11" spans="1:12" ht="15" customHeight="1" x14ac:dyDescent="0.25">
      <c r="A11" s="5"/>
      <c r="C11" s="40"/>
      <c r="D11" s="40"/>
      <c r="E11" s="40"/>
      <c r="F11" s="40"/>
      <c r="G11" s="40"/>
      <c r="H11" s="40"/>
    </row>
    <row r="12" spans="1:12" ht="15" customHeight="1" x14ac:dyDescent="0.25">
      <c r="A12" s="5"/>
      <c r="C12" s="40"/>
      <c r="D12" s="40"/>
      <c r="E12" s="40"/>
      <c r="F12" s="40"/>
      <c r="G12" s="40"/>
      <c r="H12" s="40"/>
    </row>
    <row r="13" spans="1:12" ht="15" customHeight="1" x14ac:dyDescent="0.25">
      <c r="A13" s="41"/>
      <c r="C13" s="40"/>
      <c r="D13" s="40"/>
      <c r="E13" s="40"/>
      <c r="F13" s="40"/>
      <c r="G13" s="40"/>
      <c r="H13" s="40"/>
    </row>
    <row r="14" spans="1:12" ht="15" customHeight="1" x14ac:dyDescent="0.25">
      <c r="A14" s="5"/>
      <c r="C14" s="40"/>
      <c r="D14" s="40"/>
      <c r="E14" s="40"/>
      <c r="F14" s="40"/>
      <c r="G14" s="40"/>
      <c r="H14" s="40"/>
    </row>
    <row r="15" spans="1:12" ht="15" customHeight="1" x14ac:dyDescent="0.25">
      <c r="A15" s="5"/>
      <c r="C15" s="40"/>
      <c r="D15" s="40"/>
      <c r="E15" s="40"/>
      <c r="F15" s="40"/>
      <c r="G15" s="40"/>
      <c r="H15" s="40"/>
    </row>
    <row r="16" spans="1:12" ht="15" customHeight="1" x14ac:dyDescent="0.25">
      <c r="A16" s="5"/>
      <c r="C16" s="40"/>
      <c r="D16" s="40"/>
      <c r="E16" s="40"/>
      <c r="F16" s="40"/>
      <c r="G16" s="40"/>
      <c r="H16" s="40"/>
    </row>
    <row r="17" spans="1:8" ht="15" customHeight="1" x14ac:dyDescent="0.25">
      <c r="A17" s="5"/>
      <c r="C17" s="40"/>
      <c r="D17" s="40"/>
      <c r="E17" s="40"/>
      <c r="F17" s="40"/>
      <c r="G17" s="40"/>
      <c r="H17" s="40"/>
    </row>
    <row r="18" spans="1:8" ht="15" customHeight="1" x14ac:dyDescent="0.25">
      <c r="A18" s="5"/>
      <c r="C18" s="40"/>
      <c r="D18" s="40"/>
      <c r="E18" s="40"/>
      <c r="F18" s="40"/>
      <c r="G18" s="40"/>
      <c r="H18" s="40"/>
    </row>
    <row r="19" spans="1:8" ht="15" customHeight="1" x14ac:dyDescent="0.25">
      <c r="A19" s="5"/>
      <c r="C19" s="40"/>
      <c r="D19" s="40"/>
      <c r="E19" s="40"/>
      <c r="F19" s="40"/>
      <c r="G19" s="40"/>
      <c r="H19" s="40"/>
    </row>
    <row r="20" spans="1:8" ht="15" customHeight="1" x14ac:dyDescent="0.25">
      <c r="A20" s="5"/>
      <c r="C20" s="40"/>
      <c r="D20" s="40"/>
      <c r="E20" s="40"/>
      <c r="F20" s="40"/>
      <c r="G20" s="40"/>
      <c r="H20" s="40"/>
    </row>
    <row r="21" spans="1:8" ht="15" customHeight="1" x14ac:dyDescent="0.25">
      <c r="A21" s="41"/>
      <c r="C21" s="40"/>
      <c r="D21" s="40"/>
      <c r="E21" s="40"/>
      <c r="F21" s="40"/>
      <c r="G21" s="40"/>
      <c r="H21" s="40"/>
    </row>
    <row r="22" spans="1:8" ht="15" customHeight="1" x14ac:dyDescent="0.25">
      <c r="A22" s="5"/>
      <c r="C22" s="40"/>
      <c r="D22" s="40"/>
      <c r="E22" s="40"/>
      <c r="F22" s="40"/>
      <c r="G22" s="40"/>
      <c r="H22" s="40"/>
    </row>
    <row r="23" spans="1:8" ht="15" customHeight="1" x14ac:dyDescent="0.25">
      <c r="A23" s="5"/>
      <c r="C23" s="40"/>
      <c r="D23" s="40"/>
      <c r="E23" s="40"/>
      <c r="F23" s="40"/>
      <c r="G23" s="40"/>
      <c r="H23" s="40"/>
    </row>
    <row r="24" spans="1:8" ht="15" customHeight="1" x14ac:dyDescent="0.25">
      <c r="A24" s="5"/>
      <c r="C24" s="40"/>
      <c r="D24" s="40"/>
      <c r="E24" s="40"/>
      <c r="F24" s="40"/>
      <c r="G24" s="40"/>
      <c r="H24" s="40"/>
    </row>
    <row r="25" spans="1:8" ht="15" customHeight="1" x14ac:dyDescent="0.25">
      <c r="A25" s="5"/>
      <c r="C25" s="40"/>
      <c r="D25" s="40"/>
      <c r="E25" s="40"/>
      <c r="F25" s="40"/>
      <c r="G25" s="40"/>
      <c r="H25" s="40"/>
    </row>
    <row r="26" spans="1:8" x14ac:dyDescent="0.25">
      <c r="A26" s="5"/>
      <c r="C26" s="40"/>
      <c r="D26" s="40"/>
      <c r="E26" s="40"/>
      <c r="F26" s="40"/>
      <c r="G26" s="40"/>
      <c r="H26" s="40"/>
    </row>
    <row r="27" spans="1:8" x14ac:dyDescent="0.25">
      <c r="A27" s="5"/>
    </row>
    <row r="28" spans="1:8" x14ac:dyDescent="0.25">
      <c r="A28" s="41"/>
      <c r="C28" s="43"/>
      <c r="D28" s="43"/>
      <c r="E28" s="43"/>
      <c r="F28" s="43"/>
      <c r="G28" s="43"/>
      <c r="H28" s="43"/>
    </row>
    <row r="29" spans="1:8" x14ac:dyDescent="0.25">
      <c r="A29" s="3"/>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3"/>
      <c r="C32" s="5"/>
      <c r="D32" s="5"/>
      <c r="E32" s="5"/>
      <c r="F32" s="5"/>
      <c r="G32" s="5"/>
      <c r="H32" s="5"/>
    </row>
    <row r="33" spans="1:8" x14ac:dyDescent="0.25">
      <c r="A33" s="3"/>
      <c r="C33" s="5"/>
      <c r="D33" s="5"/>
      <c r="E33" s="5"/>
      <c r="F33" s="5"/>
      <c r="G33" s="5"/>
      <c r="H33" s="5"/>
    </row>
    <row r="34" spans="1:8" x14ac:dyDescent="0.25">
      <c r="A34" s="3"/>
      <c r="C34" s="5"/>
      <c r="D34" s="5"/>
      <c r="E34" s="5"/>
      <c r="F34" s="5"/>
      <c r="G34" s="5"/>
      <c r="H34" s="5"/>
    </row>
    <row r="35" spans="1:8" x14ac:dyDescent="0.25">
      <c r="A35" s="3"/>
      <c r="C35" s="5"/>
      <c r="D35" s="5"/>
      <c r="E35" s="5"/>
      <c r="F35" s="5"/>
      <c r="G35" s="5"/>
      <c r="H35" s="5"/>
    </row>
    <row r="36" spans="1:8" x14ac:dyDescent="0.25">
      <c r="A36" s="3"/>
      <c r="C36" s="5"/>
      <c r="D36" s="5"/>
      <c r="E36" s="5"/>
      <c r="F36" s="5"/>
      <c r="G36" s="5"/>
      <c r="H36" s="5"/>
    </row>
    <row r="37" spans="1:8" x14ac:dyDescent="0.25">
      <c r="A37" s="3"/>
      <c r="C37" s="5"/>
      <c r="D37" s="5"/>
      <c r="E37" s="5"/>
      <c r="F37" s="5"/>
      <c r="G37" s="5"/>
      <c r="H37" s="5"/>
    </row>
    <row r="38" spans="1:8" x14ac:dyDescent="0.25">
      <c r="A38" s="3"/>
      <c r="C38" s="5"/>
      <c r="D38" s="5"/>
      <c r="E38" s="5"/>
      <c r="F38" s="5"/>
      <c r="G38" s="5"/>
      <c r="H38" s="5"/>
    </row>
    <row r="39" spans="1:8" x14ac:dyDescent="0.25">
      <c r="A39" s="3"/>
      <c r="C39" s="5"/>
      <c r="D39" s="5"/>
      <c r="E39" s="5"/>
      <c r="F39" s="5"/>
      <c r="G39" s="5"/>
      <c r="H39" s="5"/>
    </row>
    <row r="40" spans="1:8" x14ac:dyDescent="0.25">
      <c r="A40" s="3"/>
      <c r="C40" s="5"/>
      <c r="D40" s="5"/>
      <c r="E40" s="5"/>
      <c r="F40" s="5"/>
      <c r="G40" s="5"/>
      <c r="H40" s="5"/>
    </row>
    <row r="41" spans="1:8" x14ac:dyDescent="0.25">
      <c r="C41" s="5"/>
      <c r="D41" s="5"/>
      <c r="E41" s="5"/>
      <c r="F41" s="5"/>
      <c r="G41" s="5"/>
      <c r="H41" s="5"/>
    </row>
    <row r="42" spans="1:8" x14ac:dyDescent="0.25">
      <c r="A42" s="3"/>
      <c r="C42" s="5"/>
      <c r="D42" s="5"/>
      <c r="E42" s="5"/>
      <c r="F42" s="5"/>
      <c r="G42" s="5"/>
      <c r="H42" s="5"/>
    </row>
    <row r="43" spans="1:8" x14ac:dyDescent="0.25">
      <c r="A43" s="3"/>
      <c r="C43" s="5"/>
      <c r="D43" s="5"/>
      <c r="E43" s="5"/>
      <c r="F43" s="5"/>
      <c r="G43" s="5"/>
      <c r="H43" s="5"/>
    </row>
    <row r="44" spans="1:8" x14ac:dyDescent="0.25">
      <c r="A44" s="3"/>
      <c r="C44" s="5"/>
      <c r="D44" s="5"/>
      <c r="E44" s="5"/>
      <c r="F44" s="5"/>
      <c r="G44" s="5"/>
      <c r="H44" s="5"/>
    </row>
    <row r="45" spans="1:8" x14ac:dyDescent="0.25">
      <c r="A45" s="3"/>
      <c r="C45" s="5"/>
      <c r="D45" s="5"/>
      <c r="E45" s="5"/>
      <c r="F45" s="5"/>
      <c r="G45" s="5"/>
      <c r="H45" s="5"/>
    </row>
    <row r="46" spans="1:8" x14ac:dyDescent="0.25">
      <c r="A46" s="3"/>
      <c r="C46" s="5"/>
      <c r="D46" s="5"/>
      <c r="E46" s="5"/>
      <c r="F46" s="5"/>
      <c r="G46" s="5"/>
      <c r="H46" s="5"/>
    </row>
    <row r="47" spans="1:8" x14ac:dyDescent="0.25">
      <c r="A47" s="3"/>
      <c r="C47" s="5"/>
      <c r="D47" s="5"/>
      <c r="E47" s="5"/>
      <c r="F47" s="5"/>
      <c r="G47" s="5"/>
      <c r="H47" s="5"/>
    </row>
    <row r="48" spans="1:8" x14ac:dyDescent="0.25">
      <c r="A48" s="3"/>
      <c r="C48" s="5"/>
      <c r="D48" s="5"/>
      <c r="E48" s="5"/>
      <c r="F48" s="5"/>
      <c r="G48" s="5"/>
      <c r="H48" s="5"/>
    </row>
    <row r="49" spans="1:8" x14ac:dyDescent="0.25">
      <c r="A49" s="3"/>
      <c r="C49" s="5"/>
      <c r="D49" s="5"/>
      <c r="E49" s="5"/>
      <c r="F49" s="5"/>
      <c r="G49" s="5"/>
      <c r="H49" s="5"/>
    </row>
    <row r="50" spans="1:8" x14ac:dyDescent="0.25">
      <c r="A50" s="3"/>
      <c r="C50" s="5"/>
      <c r="D50" s="5"/>
      <c r="E50" s="5"/>
      <c r="F50" s="5"/>
      <c r="G50" s="5"/>
      <c r="H50" s="5"/>
    </row>
    <row r="51" spans="1:8" x14ac:dyDescent="0.25">
      <c r="A51" s="3"/>
      <c r="C51" s="5"/>
      <c r="D51" s="5"/>
      <c r="E51" s="5"/>
      <c r="F51" s="5"/>
      <c r="G51" s="5"/>
      <c r="H51" s="5"/>
    </row>
    <row r="52" spans="1:8" x14ac:dyDescent="0.25">
      <c r="A52" s="3"/>
      <c r="C52" s="5"/>
      <c r="D52" s="5"/>
      <c r="E52" s="5"/>
      <c r="F52" s="5"/>
      <c r="G52" s="5"/>
      <c r="H52" s="5"/>
    </row>
    <row r="53" spans="1:8" x14ac:dyDescent="0.25">
      <c r="A53" s="3"/>
      <c r="C53" s="5"/>
      <c r="D53" s="5"/>
      <c r="E53" s="5"/>
      <c r="F53" s="5"/>
      <c r="G53" s="5"/>
      <c r="H53" s="5"/>
    </row>
    <row r="54" spans="1:8" x14ac:dyDescent="0.25">
      <c r="A54" s="3"/>
      <c r="C54" s="5"/>
      <c r="D54" s="5"/>
      <c r="E54" s="5"/>
      <c r="F54" s="5"/>
      <c r="G54" s="5"/>
      <c r="H54" s="5"/>
    </row>
    <row r="55" spans="1:8" x14ac:dyDescent="0.25">
      <c r="A55" s="3"/>
      <c r="C55" s="5"/>
      <c r="D55" s="5"/>
      <c r="E55" s="5"/>
      <c r="F55" s="5"/>
      <c r="G55" s="5"/>
      <c r="H55" s="5"/>
    </row>
    <row r="56" spans="1:8" x14ac:dyDescent="0.25">
      <c r="A56" s="3"/>
      <c r="C56" s="5"/>
      <c r="D56" s="5"/>
      <c r="E56" s="5"/>
      <c r="F56" s="5"/>
      <c r="G56" s="5"/>
      <c r="H56" s="5"/>
    </row>
    <row r="57" spans="1:8" x14ac:dyDescent="0.25">
      <c r="A57" s="3"/>
      <c r="C57" s="5"/>
      <c r="D57" s="5"/>
      <c r="E57" s="5"/>
      <c r="F57" s="5"/>
      <c r="G57" s="5"/>
      <c r="H57" s="5"/>
    </row>
    <row r="58" spans="1:8" x14ac:dyDescent="0.25">
      <c r="A58" s="3"/>
      <c r="C58" s="5"/>
      <c r="D58" s="5"/>
      <c r="E58" s="5"/>
      <c r="F58" s="5"/>
      <c r="G58" s="5"/>
      <c r="H58" s="5"/>
    </row>
    <row r="59" spans="1:8" x14ac:dyDescent="0.25">
      <c r="A59" s="3"/>
      <c r="C59" s="5"/>
      <c r="D59" s="5"/>
      <c r="E59" s="5"/>
      <c r="F59" s="5"/>
      <c r="G59" s="5"/>
      <c r="H59" s="5"/>
    </row>
    <row r="60" spans="1:8" x14ac:dyDescent="0.25">
      <c r="A60" s="3"/>
      <c r="C60" s="5"/>
      <c r="D60" s="5"/>
      <c r="E60" s="5"/>
      <c r="F60" s="5"/>
      <c r="G60" s="5"/>
      <c r="H60" s="5"/>
    </row>
    <row r="61" spans="1:8" x14ac:dyDescent="0.25">
      <c r="A61" s="3"/>
      <c r="C61" s="5"/>
      <c r="D61" s="5"/>
      <c r="E61" s="5"/>
      <c r="F61" s="5"/>
      <c r="G61" s="5"/>
      <c r="H61" s="5"/>
    </row>
    <row r="62" spans="1:8" x14ac:dyDescent="0.25">
      <c r="A62" s="3"/>
      <c r="C62" s="5"/>
      <c r="D62" s="5"/>
      <c r="E62" s="5"/>
      <c r="F62" s="5"/>
      <c r="G62" s="5"/>
      <c r="H62" s="5"/>
    </row>
    <row r="63" spans="1:8" x14ac:dyDescent="0.25">
      <c r="C63" s="5"/>
      <c r="D63" s="5"/>
      <c r="E63" s="5"/>
      <c r="F63" s="5"/>
      <c r="G63" s="5"/>
      <c r="H63" s="5"/>
    </row>
    <row r="64" spans="1:8" x14ac:dyDescent="0.25">
      <c r="A64" s="3"/>
      <c r="C64" s="5"/>
      <c r="D64" s="5"/>
      <c r="E64" s="5"/>
      <c r="F64" s="5"/>
      <c r="G64" s="5"/>
      <c r="H64" s="5"/>
    </row>
    <row r="65" spans="1:8" x14ac:dyDescent="0.25">
      <c r="A65" s="3"/>
      <c r="C65" s="5"/>
      <c r="D65" s="5"/>
      <c r="E65" s="5"/>
      <c r="F65" s="5"/>
      <c r="G65" s="5"/>
      <c r="H65" s="5"/>
    </row>
    <row r="66" spans="1:8" x14ac:dyDescent="0.25">
      <c r="A66" s="3"/>
      <c r="C66" s="5"/>
      <c r="D66" s="5"/>
      <c r="E66" s="5"/>
      <c r="F66" s="5"/>
      <c r="G66" s="5"/>
      <c r="H66" s="5"/>
    </row>
    <row r="67" spans="1:8" x14ac:dyDescent="0.25">
      <c r="A67" s="3"/>
      <c r="C67" s="5"/>
      <c r="D67" s="5"/>
      <c r="E67" s="5"/>
      <c r="F67" s="5"/>
      <c r="G67" s="5"/>
      <c r="H67" s="5"/>
    </row>
    <row r="68" spans="1:8" x14ac:dyDescent="0.25">
      <c r="A68" s="3"/>
      <c r="C68" s="5"/>
      <c r="D68" s="5"/>
      <c r="E68" s="5"/>
      <c r="F68" s="5"/>
      <c r="G68" s="5"/>
      <c r="H68" s="5"/>
    </row>
    <row r="69" spans="1:8" x14ac:dyDescent="0.25">
      <c r="A69" s="3"/>
      <c r="C69" s="5"/>
      <c r="D69" s="5"/>
      <c r="E69" s="5"/>
      <c r="F69" s="5"/>
      <c r="G69" s="5"/>
      <c r="H69" s="5"/>
    </row>
    <row r="70" spans="1:8" x14ac:dyDescent="0.25">
      <c r="A70" s="3"/>
      <c r="C70" s="5"/>
      <c r="D70" s="5"/>
      <c r="E70" s="5"/>
      <c r="F70" s="5"/>
      <c r="G70" s="5"/>
      <c r="H70" s="5"/>
    </row>
    <row r="71" spans="1:8" x14ac:dyDescent="0.25">
      <c r="A71" s="3"/>
      <c r="C71" s="5"/>
      <c r="D71" s="5"/>
      <c r="E71" s="5"/>
      <c r="F71" s="5"/>
      <c r="G71" s="5"/>
      <c r="H71" s="5"/>
    </row>
    <row r="72" spans="1:8" x14ac:dyDescent="0.25">
      <c r="A72" s="3"/>
      <c r="C72" s="5"/>
      <c r="D72" s="5"/>
      <c r="E72" s="5"/>
      <c r="F72" s="5"/>
      <c r="G72" s="5"/>
      <c r="H72" s="5"/>
    </row>
    <row r="73" spans="1:8" x14ac:dyDescent="0.25">
      <c r="A73" s="3"/>
      <c r="C73" s="5"/>
      <c r="D73" s="5"/>
      <c r="E73" s="5"/>
      <c r="F73" s="5"/>
      <c r="G73" s="5"/>
      <c r="H73" s="5"/>
    </row>
    <row r="74" spans="1:8" x14ac:dyDescent="0.25">
      <c r="A74" s="3"/>
      <c r="C74" s="5"/>
      <c r="D74" s="5"/>
      <c r="E74" s="5"/>
      <c r="F74" s="5"/>
      <c r="G74" s="5"/>
      <c r="H74" s="5"/>
    </row>
    <row r="75" spans="1:8" x14ac:dyDescent="0.25">
      <c r="A75" s="3"/>
      <c r="C75" s="5"/>
      <c r="D75" s="5"/>
      <c r="E75" s="5"/>
      <c r="F75" s="5"/>
      <c r="G75" s="5"/>
      <c r="H75" s="5"/>
    </row>
    <row r="76" spans="1:8" x14ac:dyDescent="0.25">
      <c r="A76" s="3"/>
      <c r="C76" s="5"/>
      <c r="D76" s="5"/>
      <c r="E76" s="5"/>
      <c r="F76" s="5"/>
      <c r="G76" s="5"/>
      <c r="H76" s="5"/>
    </row>
    <row r="77" spans="1:8" x14ac:dyDescent="0.25">
      <c r="A77" s="3"/>
      <c r="C77" s="5"/>
      <c r="D77" s="5"/>
      <c r="E77" s="5"/>
      <c r="F77" s="5"/>
      <c r="G77" s="5"/>
      <c r="H77" s="5"/>
    </row>
    <row r="78" spans="1:8" x14ac:dyDescent="0.25">
      <c r="A78" s="3"/>
      <c r="C78" s="5"/>
      <c r="D78" s="5"/>
      <c r="E78" s="5"/>
      <c r="F78" s="5"/>
      <c r="G78" s="5"/>
      <c r="H78" s="5"/>
    </row>
    <row r="79" spans="1:8" x14ac:dyDescent="0.25">
      <c r="A79" s="3"/>
      <c r="C79" s="5"/>
      <c r="D79" s="5"/>
      <c r="E79" s="5"/>
      <c r="F79" s="5"/>
      <c r="G79" s="5"/>
      <c r="H79" s="5"/>
    </row>
    <row r="80" spans="1:8" x14ac:dyDescent="0.25">
      <c r="A80" s="3"/>
      <c r="C80" s="5"/>
      <c r="D80" s="5"/>
      <c r="E80" s="5"/>
      <c r="F80" s="5"/>
      <c r="G80" s="5"/>
      <c r="H80" s="5"/>
    </row>
    <row r="81" spans="1:8" x14ac:dyDescent="0.25">
      <c r="A81" s="3"/>
      <c r="C81" s="5"/>
      <c r="D81" s="5"/>
      <c r="E81" s="5"/>
      <c r="F81" s="5"/>
      <c r="G81" s="5"/>
      <c r="H81" s="5"/>
    </row>
    <row r="82" spans="1:8" x14ac:dyDescent="0.25">
      <c r="A82" s="3"/>
      <c r="C82" s="5"/>
      <c r="D82" s="5"/>
      <c r="E82" s="5"/>
      <c r="F82" s="5"/>
      <c r="G82" s="5"/>
      <c r="H82" s="5"/>
    </row>
    <row r="83" spans="1:8" x14ac:dyDescent="0.25">
      <c r="A83" s="3"/>
      <c r="C83" s="5"/>
      <c r="D83" s="5"/>
      <c r="E83" s="5"/>
      <c r="F83" s="5"/>
      <c r="G83" s="5"/>
      <c r="H83" s="5"/>
    </row>
    <row r="84" spans="1:8" x14ac:dyDescent="0.25">
      <c r="A84" s="3"/>
      <c r="C84" s="5"/>
      <c r="D84" s="5"/>
      <c r="E84" s="5"/>
      <c r="F84" s="5"/>
      <c r="G84" s="5"/>
      <c r="H84" s="5"/>
    </row>
    <row r="85" spans="1:8" x14ac:dyDescent="0.25">
      <c r="C85" s="5"/>
      <c r="D85" s="5"/>
      <c r="E85" s="5"/>
      <c r="F85" s="5"/>
      <c r="G85" s="5"/>
      <c r="H85" s="5"/>
    </row>
    <row r="86" spans="1:8" x14ac:dyDescent="0.25">
      <c r="A86" s="3"/>
      <c r="C86" s="5"/>
      <c r="D86" s="5"/>
      <c r="E86" s="5"/>
      <c r="F86" s="5"/>
      <c r="G86" s="5"/>
      <c r="H86" s="5"/>
    </row>
    <row r="87" spans="1:8" x14ac:dyDescent="0.25">
      <c r="A87" s="3"/>
      <c r="C87" s="5"/>
      <c r="D87" s="5"/>
      <c r="E87" s="5"/>
      <c r="F87" s="5"/>
      <c r="G87" s="5"/>
      <c r="H87" s="5"/>
    </row>
    <row r="88" spans="1:8" x14ac:dyDescent="0.25">
      <c r="A88" s="3"/>
      <c r="C88" s="5"/>
      <c r="D88" s="5"/>
      <c r="E88" s="5"/>
      <c r="F88" s="5"/>
      <c r="G88" s="5"/>
      <c r="H88" s="5"/>
    </row>
    <row r="89" spans="1:8" x14ac:dyDescent="0.25">
      <c r="A89" s="3"/>
      <c r="C89" s="5"/>
      <c r="D89" s="5"/>
      <c r="E89" s="5"/>
      <c r="F89" s="5"/>
      <c r="G89" s="5"/>
      <c r="H89" s="5"/>
    </row>
    <row r="90" spans="1:8" x14ac:dyDescent="0.25">
      <c r="A90" s="3"/>
      <c r="C90" s="5"/>
      <c r="D90" s="5"/>
      <c r="E90" s="5"/>
      <c r="F90" s="5"/>
      <c r="G90" s="5"/>
      <c r="H90" s="5"/>
    </row>
    <row r="91" spans="1:8" x14ac:dyDescent="0.25">
      <c r="A91" s="3"/>
      <c r="C91" s="5"/>
      <c r="D91" s="5"/>
      <c r="E91" s="5"/>
      <c r="F91" s="5"/>
      <c r="G91" s="5"/>
      <c r="H91" s="5"/>
    </row>
    <row r="92" spans="1:8" x14ac:dyDescent="0.25">
      <c r="A92" s="3"/>
      <c r="C92" s="5"/>
      <c r="D92" s="5"/>
      <c r="E92" s="5"/>
      <c r="F92" s="5"/>
      <c r="G92" s="5"/>
      <c r="H92" s="5"/>
    </row>
    <row r="93" spans="1:8" x14ac:dyDescent="0.25">
      <c r="A93" s="3"/>
      <c r="C93" s="5"/>
      <c r="D93" s="5"/>
      <c r="E93" s="5"/>
      <c r="F93" s="5"/>
      <c r="G93" s="5"/>
      <c r="H93" s="5"/>
    </row>
    <row r="94" spans="1:8" x14ac:dyDescent="0.25">
      <c r="A94" s="3"/>
      <c r="C94" s="5"/>
      <c r="D94" s="5"/>
      <c r="E94" s="5"/>
      <c r="F94" s="5"/>
      <c r="G94" s="5"/>
      <c r="H94" s="5"/>
    </row>
    <row r="95" spans="1:8" x14ac:dyDescent="0.25">
      <c r="A95" s="3"/>
      <c r="C95" s="5"/>
      <c r="D95" s="5"/>
      <c r="E95" s="5"/>
      <c r="F95" s="5"/>
      <c r="G95" s="5"/>
      <c r="H95" s="5"/>
    </row>
    <row r="96" spans="1:8" x14ac:dyDescent="0.25">
      <c r="A96" s="3"/>
      <c r="C96" s="5"/>
      <c r="D96" s="5"/>
      <c r="E96" s="5"/>
      <c r="F96" s="5"/>
      <c r="G96" s="5"/>
      <c r="H96" s="5"/>
    </row>
    <row r="97" spans="1:8" x14ac:dyDescent="0.25">
      <c r="A97" s="3"/>
      <c r="C97" s="5"/>
      <c r="D97" s="5"/>
      <c r="E97" s="5"/>
      <c r="F97" s="5"/>
      <c r="G97" s="5"/>
      <c r="H97" s="5"/>
    </row>
    <row r="98" spans="1:8" x14ac:dyDescent="0.25">
      <c r="A98" s="3"/>
      <c r="C98" s="5"/>
      <c r="D98" s="5"/>
      <c r="E98" s="5"/>
      <c r="F98" s="5"/>
      <c r="G98" s="5"/>
      <c r="H98" s="5"/>
    </row>
    <row r="99" spans="1:8" x14ac:dyDescent="0.25">
      <c r="A99" s="3"/>
      <c r="C99" s="5"/>
      <c r="D99" s="5"/>
      <c r="E99" s="5"/>
      <c r="F99" s="5"/>
      <c r="G99" s="5"/>
      <c r="H99" s="5"/>
    </row>
    <row r="100" spans="1:8" x14ac:dyDescent="0.25">
      <c r="A100" s="3"/>
      <c r="C100" s="5"/>
      <c r="D100" s="5"/>
      <c r="E100" s="5"/>
      <c r="F100" s="5"/>
      <c r="G100" s="5"/>
      <c r="H100" s="5"/>
    </row>
    <row r="101" spans="1:8" x14ac:dyDescent="0.25">
      <c r="A101" s="3"/>
      <c r="C101" s="5"/>
      <c r="D101" s="5"/>
      <c r="E101" s="5"/>
      <c r="F101" s="5"/>
      <c r="G101" s="5"/>
      <c r="H101" s="5"/>
    </row>
    <row r="102" spans="1:8" x14ac:dyDescent="0.25">
      <c r="A102" s="3"/>
      <c r="C102" s="5"/>
      <c r="D102" s="5"/>
      <c r="E102" s="5"/>
      <c r="F102" s="5"/>
      <c r="G102" s="5"/>
      <c r="H102" s="5"/>
    </row>
    <row r="103" spans="1:8" x14ac:dyDescent="0.25">
      <c r="A103" s="3"/>
      <c r="C103" s="5"/>
      <c r="D103" s="5"/>
      <c r="E103" s="5"/>
      <c r="F103" s="5"/>
      <c r="G103" s="5"/>
      <c r="H103" s="5"/>
    </row>
    <row r="104" spans="1:8" x14ac:dyDescent="0.25">
      <c r="A104" s="3"/>
      <c r="C104" s="5"/>
      <c r="D104" s="5"/>
      <c r="E104" s="5"/>
      <c r="F104" s="5"/>
      <c r="G104" s="5"/>
      <c r="H104" s="5"/>
    </row>
    <row r="105" spans="1:8" x14ac:dyDescent="0.25">
      <c r="A105" s="3"/>
      <c r="C105" s="5"/>
      <c r="D105" s="5"/>
      <c r="E105" s="5"/>
      <c r="F105" s="5"/>
      <c r="G105" s="5"/>
      <c r="H105" s="5"/>
    </row>
    <row r="106" spans="1:8" x14ac:dyDescent="0.25">
      <c r="A106" s="3"/>
      <c r="C106" s="5"/>
      <c r="D106" s="5"/>
      <c r="E106" s="5"/>
      <c r="F106" s="5"/>
      <c r="G106" s="5"/>
      <c r="H106" s="5"/>
    </row>
    <row r="107" spans="1:8" x14ac:dyDescent="0.25">
      <c r="C107" s="5"/>
      <c r="D107" s="5"/>
      <c r="E107" s="5"/>
      <c r="F107" s="5"/>
      <c r="G107" s="5"/>
      <c r="H107" s="5"/>
    </row>
    <row r="108" spans="1:8" x14ac:dyDescent="0.25">
      <c r="A108" s="3"/>
      <c r="C108" s="5"/>
      <c r="D108" s="5"/>
      <c r="E108" s="5"/>
      <c r="F108" s="5"/>
      <c r="G108" s="5"/>
      <c r="H108" s="5"/>
    </row>
    <row r="109" spans="1:8" x14ac:dyDescent="0.25">
      <c r="A109" s="3"/>
      <c r="C109" s="5"/>
      <c r="D109" s="5"/>
      <c r="E109" s="5"/>
      <c r="F109" s="5"/>
      <c r="G109" s="5"/>
      <c r="H109" s="5"/>
    </row>
    <row r="110" spans="1:8" x14ac:dyDescent="0.25">
      <c r="A110" s="3"/>
      <c r="C110" s="5"/>
      <c r="D110" s="5"/>
      <c r="E110" s="5"/>
      <c r="F110" s="5"/>
      <c r="G110" s="5"/>
      <c r="H110" s="5"/>
    </row>
    <row r="111" spans="1:8" x14ac:dyDescent="0.25">
      <c r="A111" s="3"/>
      <c r="C111" s="5"/>
      <c r="D111" s="5"/>
      <c r="E111" s="5"/>
      <c r="F111" s="5"/>
      <c r="G111" s="5"/>
      <c r="H111" s="5"/>
    </row>
    <row r="112" spans="1:8" x14ac:dyDescent="0.25">
      <c r="A112" s="3"/>
      <c r="C112" s="5"/>
      <c r="D112" s="5"/>
      <c r="E112" s="5"/>
      <c r="F112" s="5"/>
      <c r="G112" s="5"/>
      <c r="H112" s="5"/>
    </row>
    <row r="113" spans="1:8" x14ac:dyDescent="0.25">
      <c r="A113" s="3"/>
      <c r="C113" s="5"/>
      <c r="D113" s="5"/>
      <c r="E113" s="5"/>
      <c r="F113" s="5"/>
      <c r="G113" s="5"/>
      <c r="H113" s="5"/>
    </row>
    <row r="114" spans="1:8" x14ac:dyDescent="0.25">
      <c r="A114" s="3"/>
      <c r="C114" s="5"/>
      <c r="D114" s="5"/>
      <c r="E114" s="5"/>
      <c r="F114" s="5"/>
      <c r="G114" s="5"/>
      <c r="H114" s="5"/>
    </row>
    <row r="115" spans="1:8" x14ac:dyDescent="0.25">
      <c r="A115" s="3"/>
      <c r="C115" s="5"/>
      <c r="D115" s="5"/>
      <c r="E115" s="5"/>
      <c r="F115" s="5"/>
      <c r="G115" s="5"/>
      <c r="H115" s="5"/>
    </row>
    <row r="116" spans="1:8" x14ac:dyDescent="0.25">
      <c r="A116" s="3"/>
      <c r="C116" s="5"/>
      <c r="D116" s="5"/>
      <c r="E116" s="5"/>
      <c r="F116" s="5"/>
      <c r="G116" s="5"/>
      <c r="H116" s="5"/>
    </row>
    <row r="117" spans="1:8" x14ac:dyDescent="0.25">
      <c r="A117" s="3"/>
      <c r="C117" s="5"/>
      <c r="D117" s="5"/>
      <c r="E117" s="5"/>
      <c r="F117" s="5"/>
      <c r="G117" s="5"/>
      <c r="H117" s="5"/>
    </row>
    <row r="118" spans="1:8" x14ac:dyDescent="0.25">
      <c r="A118" s="3"/>
      <c r="C118" s="5"/>
      <c r="D118" s="5"/>
      <c r="E118" s="5"/>
      <c r="F118" s="5"/>
      <c r="G118" s="5"/>
      <c r="H118" s="5"/>
    </row>
    <row r="119" spans="1:8" x14ac:dyDescent="0.25">
      <c r="A119" s="3"/>
      <c r="C119" s="5"/>
      <c r="D119" s="5"/>
      <c r="E119" s="5"/>
      <c r="F119" s="5"/>
      <c r="G119" s="5"/>
      <c r="H119" s="5"/>
    </row>
    <row r="120" spans="1:8" x14ac:dyDescent="0.25">
      <c r="A120" s="3"/>
      <c r="C120" s="5"/>
      <c r="D120" s="5"/>
      <c r="E120" s="5"/>
      <c r="F120" s="5"/>
      <c r="G120" s="5"/>
      <c r="H120" s="5"/>
    </row>
    <row r="121" spans="1:8" x14ac:dyDescent="0.25">
      <c r="A121" s="3"/>
      <c r="C121" s="5"/>
      <c r="D121" s="5"/>
      <c r="E121" s="5"/>
      <c r="F121" s="5"/>
      <c r="G121" s="5"/>
      <c r="H121" s="5"/>
    </row>
    <row r="122" spans="1:8" x14ac:dyDescent="0.25">
      <c r="A122" s="3"/>
      <c r="C122" s="5"/>
      <c r="D122" s="5"/>
      <c r="E122" s="5"/>
      <c r="F122" s="5"/>
      <c r="G122" s="5"/>
      <c r="H122" s="5"/>
    </row>
    <row r="123" spans="1:8" x14ac:dyDescent="0.25">
      <c r="A123" s="3"/>
      <c r="C123" s="5"/>
      <c r="D123" s="5"/>
      <c r="E123" s="5"/>
      <c r="F123" s="5"/>
      <c r="G123" s="5"/>
      <c r="H123" s="5"/>
    </row>
    <row r="124" spans="1:8" x14ac:dyDescent="0.25">
      <c r="A124" s="3"/>
      <c r="C124" s="5"/>
      <c r="D124" s="5"/>
      <c r="E124" s="5"/>
      <c r="F124" s="5"/>
      <c r="G124" s="5"/>
      <c r="H124" s="5"/>
    </row>
    <row r="125" spans="1:8" x14ac:dyDescent="0.25">
      <c r="A125" s="3"/>
      <c r="C125" s="5"/>
      <c r="D125" s="5"/>
      <c r="E125" s="5"/>
      <c r="F125" s="5"/>
      <c r="G125" s="5"/>
      <c r="H125" s="5"/>
    </row>
    <row r="126" spans="1:8" x14ac:dyDescent="0.25">
      <c r="A126" s="3"/>
      <c r="C126" s="5"/>
      <c r="D126" s="5"/>
      <c r="E126" s="5"/>
      <c r="F126" s="5"/>
      <c r="G126" s="5"/>
      <c r="H126" s="5"/>
    </row>
    <row r="127" spans="1:8" x14ac:dyDescent="0.25">
      <c r="A127" s="3"/>
      <c r="C127" s="5"/>
      <c r="D127" s="5"/>
      <c r="E127" s="5"/>
      <c r="F127" s="5"/>
      <c r="G127" s="5"/>
      <c r="H127" s="5"/>
    </row>
    <row r="128" spans="1:8" x14ac:dyDescent="0.25">
      <c r="A128" s="3"/>
      <c r="C128" s="5"/>
      <c r="D128" s="5"/>
      <c r="E128" s="5"/>
      <c r="F128" s="5"/>
      <c r="G128" s="5"/>
      <c r="H128" s="5"/>
    </row>
    <row r="129" spans="1:8" x14ac:dyDescent="0.25">
      <c r="C129" s="5"/>
      <c r="D129" s="5"/>
      <c r="E129" s="5"/>
      <c r="F129" s="5"/>
      <c r="G129" s="5"/>
      <c r="H129" s="5"/>
    </row>
    <row r="130" spans="1:8" x14ac:dyDescent="0.25">
      <c r="A130" s="3"/>
      <c r="C130" s="5"/>
      <c r="D130" s="5"/>
      <c r="E130" s="5"/>
      <c r="F130" s="5"/>
      <c r="G130" s="5"/>
      <c r="H130" s="5"/>
    </row>
    <row r="131" spans="1:8" x14ac:dyDescent="0.25">
      <c r="A131" s="3"/>
      <c r="C131" s="5"/>
      <c r="D131" s="5"/>
      <c r="E131" s="5"/>
      <c r="F131" s="5"/>
      <c r="G131" s="5"/>
      <c r="H131" s="5"/>
    </row>
    <row r="132" spans="1:8" x14ac:dyDescent="0.25">
      <c r="A132" s="3"/>
      <c r="C132" s="5"/>
      <c r="D132" s="5"/>
      <c r="E132" s="5"/>
      <c r="F132" s="5"/>
      <c r="G132" s="5"/>
      <c r="H132" s="5"/>
    </row>
    <row r="133" spans="1:8" x14ac:dyDescent="0.25">
      <c r="A133" s="3"/>
      <c r="C133" s="5"/>
      <c r="D133" s="5"/>
      <c r="E133" s="5"/>
      <c r="F133" s="5"/>
      <c r="G133" s="5"/>
      <c r="H133" s="5"/>
    </row>
    <row r="134" spans="1:8" x14ac:dyDescent="0.25">
      <c r="A134" s="3"/>
      <c r="C134" s="5"/>
      <c r="D134" s="5"/>
      <c r="E134" s="5"/>
      <c r="F134" s="5"/>
      <c r="G134" s="5"/>
      <c r="H134" s="5"/>
    </row>
    <row r="135" spans="1:8" x14ac:dyDescent="0.25">
      <c r="A135" s="3"/>
      <c r="C135" s="5"/>
      <c r="D135" s="5"/>
      <c r="E135" s="5"/>
      <c r="F135" s="5"/>
      <c r="G135" s="5"/>
      <c r="H135" s="5"/>
    </row>
    <row r="136" spans="1:8" x14ac:dyDescent="0.25">
      <c r="A136" s="3"/>
      <c r="C136" s="5"/>
      <c r="D136" s="5"/>
      <c r="E136" s="5"/>
      <c r="F136" s="5"/>
      <c r="G136" s="5"/>
      <c r="H136" s="5"/>
    </row>
    <row r="137" spans="1:8" x14ac:dyDescent="0.25">
      <c r="A137" s="3"/>
      <c r="C137" s="5"/>
      <c r="D137" s="5"/>
      <c r="E137" s="5"/>
      <c r="F137" s="5"/>
      <c r="G137" s="5"/>
      <c r="H137" s="5"/>
    </row>
    <row r="138" spans="1:8" x14ac:dyDescent="0.25">
      <c r="A138" s="3"/>
      <c r="C138" s="5"/>
      <c r="D138" s="5"/>
      <c r="E138" s="5"/>
      <c r="F138" s="5"/>
      <c r="G138" s="5"/>
      <c r="H138" s="5"/>
    </row>
    <row r="139" spans="1:8" x14ac:dyDescent="0.25">
      <c r="A139" s="3"/>
      <c r="C139" s="5"/>
      <c r="D139" s="5"/>
      <c r="E139" s="5"/>
      <c r="F139" s="5"/>
      <c r="G139" s="5"/>
      <c r="H139" s="5"/>
    </row>
    <row r="140" spans="1:8" x14ac:dyDescent="0.25">
      <c r="A140" s="3"/>
      <c r="C140" s="5"/>
      <c r="D140" s="5"/>
      <c r="E140" s="5"/>
      <c r="F140" s="5"/>
      <c r="G140" s="5"/>
      <c r="H140" s="5"/>
    </row>
    <row r="141" spans="1:8" x14ac:dyDescent="0.25">
      <c r="A141" s="3"/>
      <c r="C141" s="5"/>
      <c r="D141" s="5"/>
      <c r="E141" s="5"/>
      <c r="F141" s="5"/>
      <c r="G141" s="5"/>
      <c r="H141" s="5"/>
    </row>
    <row r="142" spans="1:8" x14ac:dyDescent="0.25">
      <c r="A142" s="3"/>
      <c r="C142" s="5"/>
      <c r="D142" s="5"/>
      <c r="E142" s="5"/>
      <c r="F142" s="5"/>
      <c r="G142" s="5"/>
      <c r="H142" s="5"/>
    </row>
    <row r="143" spans="1:8" x14ac:dyDescent="0.25">
      <c r="A143" s="3"/>
      <c r="C143" s="5"/>
      <c r="D143" s="5"/>
      <c r="E143" s="5"/>
      <c r="F143" s="5"/>
      <c r="G143" s="5"/>
      <c r="H143" s="5"/>
    </row>
    <row r="144" spans="1:8" x14ac:dyDescent="0.25">
      <c r="A144" s="3"/>
      <c r="C144" s="5"/>
      <c r="D144" s="5"/>
      <c r="E144" s="5"/>
      <c r="F144" s="5"/>
      <c r="G144" s="5"/>
      <c r="H144" s="5"/>
    </row>
    <row r="145" spans="1:8" x14ac:dyDescent="0.25">
      <c r="A145" s="3"/>
      <c r="C145" s="5"/>
      <c r="D145" s="5"/>
      <c r="E145" s="5"/>
      <c r="F145" s="5"/>
      <c r="G145" s="5"/>
      <c r="H145" s="5"/>
    </row>
    <row r="146" spans="1:8" x14ac:dyDescent="0.25">
      <c r="A146" s="3"/>
      <c r="C146" s="5"/>
      <c r="D146" s="5"/>
      <c r="E146" s="5"/>
      <c r="F146" s="5"/>
      <c r="G146" s="5"/>
      <c r="H146" s="5"/>
    </row>
    <row r="147" spans="1:8" x14ac:dyDescent="0.25">
      <c r="A147" s="3"/>
      <c r="C147" s="5"/>
      <c r="D147" s="5"/>
      <c r="E147" s="5"/>
      <c r="F147" s="5"/>
      <c r="G147" s="5"/>
      <c r="H147" s="5"/>
    </row>
    <row r="148" spans="1:8" x14ac:dyDescent="0.25">
      <c r="A148" s="3"/>
      <c r="C148" s="5"/>
      <c r="D148" s="5"/>
      <c r="E148" s="5"/>
      <c r="F148" s="5"/>
      <c r="G148" s="5"/>
      <c r="H148" s="5"/>
    </row>
    <row r="149" spans="1:8" x14ac:dyDescent="0.25">
      <c r="A149" s="3"/>
      <c r="C149" s="5"/>
      <c r="D149" s="5"/>
      <c r="E149" s="5"/>
      <c r="F149" s="5"/>
      <c r="G149" s="5"/>
      <c r="H149" s="5"/>
    </row>
    <row r="150" spans="1:8" x14ac:dyDescent="0.25">
      <c r="A150" s="3"/>
      <c r="C150" s="5"/>
      <c r="D150" s="5"/>
      <c r="E150" s="5"/>
      <c r="F150" s="5"/>
      <c r="G150" s="5"/>
      <c r="H150" s="5"/>
    </row>
    <row r="151" spans="1:8" x14ac:dyDescent="0.25">
      <c r="C151" s="5"/>
      <c r="D151" s="5"/>
      <c r="E151" s="5"/>
      <c r="F151" s="5"/>
      <c r="G151" s="5"/>
      <c r="H151" s="5"/>
    </row>
    <row r="152" spans="1:8" x14ac:dyDescent="0.25">
      <c r="A152" s="3"/>
      <c r="C152" s="5"/>
      <c r="D152" s="5"/>
      <c r="E152" s="5"/>
      <c r="F152" s="5"/>
      <c r="G152" s="5"/>
      <c r="H152" s="5"/>
    </row>
    <row r="153" spans="1:8" x14ac:dyDescent="0.25">
      <c r="A153" s="3"/>
      <c r="C153" s="5"/>
      <c r="D153" s="5"/>
      <c r="E153" s="5"/>
      <c r="F153" s="5"/>
      <c r="G153" s="5"/>
      <c r="H153" s="5"/>
    </row>
    <row r="154" spans="1:8" x14ac:dyDescent="0.25">
      <c r="A154" s="3"/>
      <c r="C154" s="5"/>
      <c r="D154" s="5"/>
      <c r="E154" s="5"/>
      <c r="F154" s="5"/>
      <c r="G154" s="5"/>
      <c r="H154" s="5"/>
    </row>
    <row r="155" spans="1:8" x14ac:dyDescent="0.25">
      <c r="A155" s="3"/>
      <c r="C155" s="5"/>
      <c r="D155" s="5"/>
      <c r="E155" s="5"/>
      <c r="F155" s="5"/>
      <c r="G155" s="5"/>
      <c r="H155" s="5"/>
    </row>
    <row r="156" spans="1:8" x14ac:dyDescent="0.25">
      <c r="A156" s="3"/>
      <c r="C156" s="5"/>
      <c r="D156" s="5"/>
      <c r="E156" s="5"/>
      <c r="F156" s="5"/>
      <c r="G156" s="5"/>
      <c r="H156" s="5"/>
    </row>
    <row r="157" spans="1:8" x14ac:dyDescent="0.25">
      <c r="A157" s="3"/>
      <c r="C157" s="5"/>
      <c r="D157" s="5"/>
      <c r="E157" s="5"/>
      <c r="F157" s="5"/>
      <c r="G157" s="5"/>
      <c r="H157" s="5"/>
    </row>
    <row r="158" spans="1:8" x14ac:dyDescent="0.25">
      <c r="A158" s="3"/>
      <c r="C158" s="5"/>
      <c r="D158" s="5"/>
      <c r="E158" s="5"/>
      <c r="F158" s="5"/>
      <c r="G158" s="5"/>
      <c r="H158" s="5"/>
    </row>
    <row r="159" spans="1:8" x14ac:dyDescent="0.25">
      <c r="A159" s="3"/>
      <c r="C159" s="5"/>
      <c r="D159" s="5"/>
      <c r="E159" s="5"/>
      <c r="F159" s="5"/>
      <c r="G159" s="5"/>
      <c r="H159" s="5"/>
    </row>
    <row r="160" spans="1:8" x14ac:dyDescent="0.25">
      <c r="A160" s="3"/>
      <c r="C160" s="5"/>
      <c r="D160" s="5"/>
      <c r="E160" s="5"/>
      <c r="F160" s="5"/>
      <c r="G160" s="5"/>
      <c r="H160" s="5"/>
    </row>
    <row r="161" spans="1:8" x14ac:dyDescent="0.25">
      <c r="A161" s="3"/>
      <c r="C161" s="5"/>
      <c r="D161" s="5"/>
      <c r="E161" s="5"/>
      <c r="F161" s="5"/>
      <c r="G161" s="5"/>
      <c r="H161" s="5"/>
    </row>
    <row r="162" spans="1:8" x14ac:dyDescent="0.25">
      <c r="A162" s="3"/>
      <c r="C162" s="5"/>
      <c r="D162" s="5"/>
      <c r="E162" s="5"/>
      <c r="F162" s="5"/>
      <c r="G162" s="5"/>
      <c r="H162" s="5"/>
    </row>
    <row r="163" spans="1:8" x14ac:dyDescent="0.25">
      <c r="A163" s="3"/>
      <c r="C163" s="5"/>
      <c r="D163" s="5"/>
      <c r="E163" s="5"/>
      <c r="F163" s="5"/>
      <c r="G163" s="5"/>
      <c r="H163" s="5"/>
    </row>
    <row r="164" spans="1:8" x14ac:dyDescent="0.25">
      <c r="A164" s="3"/>
      <c r="C164" s="5"/>
      <c r="D164" s="5"/>
      <c r="E164" s="5"/>
      <c r="F164" s="5"/>
      <c r="G164" s="5"/>
      <c r="H164" s="5"/>
    </row>
    <row r="165" spans="1:8" x14ac:dyDescent="0.25">
      <c r="A165" s="3"/>
      <c r="C165" s="5"/>
      <c r="D165" s="5"/>
      <c r="E165" s="5"/>
      <c r="F165" s="5"/>
      <c r="G165" s="5"/>
      <c r="H165" s="5"/>
    </row>
    <row r="166" spans="1:8" x14ac:dyDescent="0.25">
      <c r="A166" s="3"/>
      <c r="C166" s="5"/>
      <c r="D166" s="5"/>
      <c r="E166" s="5"/>
      <c r="F166" s="5"/>
      <c r="G166" s="5"/>
      <c r="H166" s="5"/>
    </row>
    <row r="167" spans="1:8" x14ac:dyDescent="0.25">
      <c r="A167" s="3"/>
      <c r="C167" s="5"/>
      <c r="D167" s="5"/>
      <c r="E167" s="5"/>
      <c r="F167" s="5"/>
      <c r="G167" s="5"/>
      <c r="H167" s="5"/>
    </row>
    <row r="168" spans="1:8" x14ac:dyDescent="0.25">
      <c r="A168" s="3"/>
      <c r="C168" s="5"/>
      <c r="D168" s="5"/>
      <c r="E168" s="5"/>
      <c r="F168" s="5"/>
      <c r="G168" s="5"/>
      <c r="H168" s="5"/>
    </row>
    <row r="169" spans="1:8" x14ac:dyDescent="0.25">
      <c r="A169" s="3"/>
      <c r="C169" s="5"/>
      <c r="D169" s="5"/>
      <c r="E169" s="5"/>
      <c r="F169" s="5"/>
      <c r="G169" s="5"/>
      <c r="H169" s="5"/>
    </row>
    <row r="170" spans="1:8" x14ac:dyDescent="0.25">
      <c r="A170" s="3"/>
      <c r="C170" s="5"/>
      <c r="D170" s="5"/>
      <c r="E170" s="5"/>
      <c r="F170" s="5"/>
      <c r="G170" s="5"/>
      <c r="H170" s="5"/>
    </row>
    <row r="171" spans="1:8" x14ac:dyDescent="0.25">
      <c r="A171" s="3"/>
      <c r="C171" s="5"/>
      <c r="D171" s="5"/>
      <c r="E171" s="5"/>
      <c r="F171" s="5"/>
      <c r="G171" s="5"/>
      <c r="H171" s="5"/>
    </row>
    <row r="172" spans="1:8" x14ac:dyDescent="0.25">
      <c r="A172" s="3"/>
      <c r="C172" s="5"/>
      <c r="D172" s="5"/>
      <c r="E172" s="5"/>
      <c r="F172" s="5"/>
      <c r="G172" s="5"/>
      <c r="H172" s="5"/>
    </row>
    <row r="173" spans="1:8" x14ac:dyDescent="0.25">
      <c r="C173" s="5"/>
      <c r="D173" s="5"/>
      <c r="E173" s="5"/>
      <c r="F173" s="5"/>
      <c r="G173" s="5"/>
      <c r="H173" s="5"/>
    </row>
    <row r="174" spans="1:8" x14ac:dyDescent="0.25">
      <c r="A174" s="3"/>
      <c r="C174" s="5"/>
      <c r="D174" s="5"/>
      <c r="E174" s="5"/>
      <c r="F174" s="5"/>
      <c r="G174" s="5"/>
      <c r="H174" s="5"/>
    </row>
    <row r="175" spans="1:8" x14ac:dyDescent="0.25">
      <c r="A175" s="3"/>
      <c r="C175" s="5"/>
      <c r="D175" s="5"/>
      <c r="E175" s="5"/>
      <c r="F175" s="5"/>
      <c r="G175" s="5"/>
      <c r="H175" s="5"/>
    </row>
    <row r="176" spans="1:8" x14ac:dyDescent="0.25">
      <c r="A176" s="3"/>
      <c r="C176" s="5"/>
      <c r="D176" s="5"/>
      <c r="E176" s="5"/>
      <c r="F176" s="5"/>
      <c r="G176" s="5"/>
      <c r="H176" s="5"/>
    </row>
    <row r="177" spans="1:8" x14ac:dyDescent="0.25">
      <c r="A177" s="3"/>
      <c r="C177" s="5"/>
      <c r="D177" s="5"/>
      <c r="E177" s="5"/>
      <c r="F177" s="5"/>
      <c r="G177" s="5"/>
      <c r="H177" s="5"/>
    </row>
    <row r="178" spans="1:8" x14ac:dyDescent="0.25">
      <c r="A178" s="3"/>
      <c r="C178" s="5"/>
      <c r="D178" s="5"/>
      <c r="E178" s="5"/>
      <c r="F178" s="5"/>
      <c r="G178" s="5"/>
      <c r="H178" s="5"/>
    </row>
    <row r="179" spans="1:8" x14ac:dyDescent="0.25">
      <c r="A179" s="3"/>
      <c r="C179" s="5"/>
      <c r="D179" s="5"/>
      <c r="E179" s="5"/>
      <c r="F179" s="5"/>
      <c r="G179" s="5"/>
      <c r="H179" s="5"/>
    </row>
    <row r="180" spans="1:8" x14ac:dyDescent="0.25">
      <c r="A180" s="3"/>
      <c r="C180" s="5"/>
      <c r="D180" s="5"/>
      <c r="E180" s="5"/>
      <c r="F180" s="5"/>
      <c r="G180" s="5"/>
      <c r="H180" s="5"/>
    </row>
    <row r="181" spans="1:8" x14ac:dyDescent="0.25">
      <c r="A181" s="3"/>
      <c r="C181" s="5"/>
      <c r="D181" s="5"/>
      <c r="E181" s="5"/>
      <c r="F181" s="5"/>
      <c r="G181" s="5"/>
      <c r="H181" s="5"/>
    </row>
    <row r="182" spans="1:8" x14ac:dyDescent="0.25">
      <c r="A182" s="3"/>
      <c r="C182" s="5"/>
      <c r="D182" s="5"/>
      <c r="E182" s="5"/>
      <c r="F182" s="5"/>
      <c r="G182" s="5"/>
      <c r="H182" s="5"/>
    </row>
    <row r="183" spans="1:8" x14ac:dyDescent="0.25">
      <c r="A183" s="3"/>
      <c r="C183" s="5"/>
      <c r="D183" s="5"/>
      <c r="E183" s="5"/>
      <c r="F183" s="5"/>
      <c r="G183" s="5"/>
      <c r="H183" s="5"/>
    </row>
    <row r="184" spans="1:8" x14ac:dyDescent="0.25">
      <c r="A184" s="3"/>
      <c r="C184" s="5"/>
      <c r="D184" s="5"/>
      <c r="E184" s="5"/>
      <c r="F184" s="5"/>
      <c r="G184" s="5"/>
      <c r="H184" s="5"/>
    </row>
    <row r="185" spans="1:8" x14ac:dyDescent="0.25">
      <c r="A185" s="3"/>
      <c r="C185" s="5"/>
      <c r="D185" s="5"/>
      <c r="E185" s="5"/>
      <c r="F185" s="5"/>
      <c r="G185" s="5"/>
      <c r="H185" s="5"/>
    </row>
    <row r="186" spans="1:8" x14ac:dyDescent="0.25">
      <c r="A186" s="3"/>
      <c r="C186" s="5"/>
      <c r="D186" s="5"/>
      <c r="E186" s="5"/>
      <c r="F186" s="5"/>
      <c r="G186" s="5"/>
      <c r="H186" s="5"/>
    </row>
    <row r="187" spans="1:8" x14ac:dyDescent="0.25">
      <c r="A187" s="3"/>
      <c r="C187" s="5"/>
      <c r="D187" s="5"/>
      <c r="E187" s="5"/>
      <c r="F187" s="5"/>
      <c r="G187" s="5"/>
      <c r="H187" s="5"/>
    </row>
    <row r="188" spans="1:8" x14ac:dyDescent="0.25">
      <c r="A188" s="3"/>
      <c r="C188" s="5"/>
      <c r="D188" s="5"/>
      <c r="E188" s="5"/>
      <c r="F188" s="5"/>
      <c r="G188" s="5"/>
      <c r="H188" s="5"/>
    </row>
    <row r="189" spans="1:8" x14ac:dyDescent="0.25">
      <c r="A189" s="3"/>
      <c r="C189" s="5"/>
      <c r="D189" s="5"/>
      <c r="E189" s="5"/>
      <c r="F189" s="5"/>
      <c r="G189" s="5"/>
      <c r="H189" s="5"/>
    </row>
    <row r="190" spans="1:8" x14ac:dyDescent="0.25">
      <c r="A190" s="3"/>
      <c r="C190" s="5"/>
      <c r="D190" s="5"/>
      <c r="E190" s="5"/>
      <c r="F190" s="5"/>
      <c r="G190" s="5"/>
      <c r="H190" s="5"/>
    </row>
    <row r="191" spans="1:8" x14ac:dyDescent="0.25">
      <c r="A191" s="3"/>
      <c r="C191" s="5"/>
      <c r="D191" s="5"/>
      <c r="E191" s="5"/>
      <c r="F191" s="5"/>
      <c r="G191" s="5"/>
      <c r="H191" s="5"/>
    </row>
    <row r="192" spans="1:8" x14ac:dyDescent="0.25">
      <c r="A192" s="3"/>
      <c r="C192" s="5"/>
      <c r="D192" s="5"/>
      <c r="E192" s="5"/>
      <c r="F192" s="5"/>
      <c r="G192" s="5"/>
      <c r="H192" s="5"/>
    </row>
    <row r="193" spans="1:8" x14ac:dyDescent="0.25">
      <c r="A193" s="3"/>
      <c r="C193" s="5"/>
      <c r="D193" s="5"/>
      <c r="E193" s="5"/>
      <c r="F193" s="5"/>
      <c r="G193" s="5"/>
      <c r="H193" s="5"/>
    </row>
    <row r="194" spans="1:8" x14ac:dyDescent="0.25">
      <c r="A194" s="3"/>
      <c r="C194" s="5"/>
      <c r="D194" s="5"/>
      <c r="E194" s="5"/>
      <c r="F194" s="5"/>
      <c r="G194" s="5"/>
      <c r="H194" s="5"/>
    </row>
    <row r="195" spans="1:8" x14ac:dyDescent="0.25">
      <c r="C195" s="5"/>
      <c r="D195" s="5"/>
      <c r="E195" s="5"/>
      <c r="F195" s="5"/>
      <c r="G195" s="5"/>
      <c r="H195" s="5"/>
    </row>
    <row r="196" spans="1:8" x14ac:dyDescent="0.25">
      <c r="A196" s="3"/>
      <c r="C196" s="5"/>
      <c r="D196" s="5"/>
      <c r="E196" s="5"/>
      <c r="F196" s="5"/>
      <c r="G196" s="5"/>
      <c r="H196" s="5"/>
    </row>
    <row r="197" spans="1:8" x14ac:dyDescent="0.25">
      <c r="A197" s="3"/>
      <c r="C197" s="5"/>
      <c r="D197" s="5"/>
      <c r="E197" s="5"/>
      <c r="F197" s="5"/>
      <c r="G197" s="5"/>
      <c r="H197" s="5"/>
    </row>
    <row r="198" spans="1:8" x14ac:dyDescent="0.25">
      <c r="A198" s="3"/>
      <c r="C198" s="5"/>
      <c r="D198" s="5"/>
      <c r="E198" s="5"/>
      <c r="F198" s="5"/>
      <c r="G198" s="5"/>
      <c r="H198" s="5"/>
    </row>
    <row r="199" spans="1:8" x14ac:dyDescent="0.25">
      <c r="A199" s="3"/>
      <c r="C199" s="5"/>
      <c r="D199" s="5"/>
      <c r="E199" s="5"/>
      <c r="F199" s="5"/>
      <c r="G199" s="5"/>
      <c r="H199" s="5"/>
    </row>
    <row r="200" spans="1:8" x14ac:dyDescent="0.25">
      <c r="A200" s="3"/>
      <c r="C200" s="5"/>
      <c r="D200" s="5"/>
      <c r="E200" s="5"/>
      <c r="F200" s="5"/>
      <c r="G200" s="5"/>
      <c r="H200" s="5"/>
    </row>
    <row r="201" spans="1:8" x14ac:dyDescent="0.25">
      <c r="A201" s="3"/>
      <c r="C201" s="5"/>
      <c r="D201" s="5"/>
      <c r="E201" s="5"/>
      <c r="F201" s="5"/>
      <c r="G201" s="5"/>
      <c r="H201" s="5"/>
    </row>
    <row r="202" spans="1:8" x14ac:dyDescent="0.25">
      <c r="A202" s="3"/>
      <c r="C202" s="5"/>
      <c r="D202" s="5"/>
      <c r="E202" s="5"/>
      <c r="F202" s="5"/>
      <c r="G202" s="5"/>
      <c r="H202" s="5"/>
    </row>
    <row r="203" spans="1:8" x14ac:dyDescent="0.25">
      <c r="A203" s="3"/>
      <c r="C203" s="5"/>
      <c r="D203" s="5"/>
      <c r="E203" s="5"/>
      <c r="F203" s="5"/>
      <c r="G203" s="5"/>
      <c r="H203" s="5"/>
    </row>
    <row r="204" spans="1:8" x14ac:dyDescent="0.25">
      <c r="A204" s="3"/>
      <c r="C204" s="5"/>
      <c r="D204" s="5"/>
      <c r="E204" s="5"/>
      <c r="F204" s="5"/>
      <c r="G204" s="5"/>
      <c r="H204" s="5"/>
    </row>
    <row r="205" spans="1:8" x14ac:dyDescent="0.25">
      <c r="A205" s="3"/>
      <c r="C205" s="5"/>
      <c r="D205" s="5"/>
      <c r="E205" s="5"/>
      <c r="F205" s="5"/>
      <c r="G205" s="5"/>
      <c r="H205" s="5"/>
    </row>
    <row r="206" spans="1:8" x14ac:dyDescent="0.25">
      <c r="A206" s="3"/>
      <c r="C206" s="5"/>
      <c r="D206" s="5"/>
      <c r="E206" s="5"/>
      <c r="F206" s="5"/>
      <c r="G206" s="5"/>
      <c r="H206" s="5"/>
    </row>
    <row r="207" spans="1:8" x14ac:dyDescent="0.25">
      <c r="A207" s="3"/>
      <c r="C207" s="5"/>
      <c r="D207" s="5"/>
      <c r="E207" s="5"/>
      <c r="F207" s="5"/>
      <c r="G207" s="5"/>
      <c r="H207" s="5"/>
    </row>
    <row r="208" spans="1:8" x14ac:dyDescent="0.25">
      <c r="A208" s="3"/>
      <c r="C208" s="5"/>
      <c r="D208" s="5"/>
      <c r="E208" s="5"/>
      <c r="F208" s="5"/>
      <c r="G208" s="5"/>
      <c r="H208" s="5"/>
    </row>
    <row r="209" spans="1:8" x14ac:dyDescent="0.25">
      <c r="A209" s="3"/>
      <c r="C209" s="5"/>
      <c r="D209" s="5"/>
      <c r="E209" s="5"/>
      <c r="F209" s="5"/>
      <c r="G209" s="5"/>
      <c r="H209" s="5"/>
    </row>
    <row r="210" spans="1:8" x14ac:dyDescent="0.25">
      <c r="A210" s="3"/>
      <c r="C210" s="5"/>
      <c r="D210" s="5"/>
      <c r="E210" s="5"/>
      <c r="F210" s="5"/>
      <c r="G210" s="5"/>
      <c r="H210" s="5"/>
    </row>
    <row r="211" spans="1:8" x14ac:dyDescent="0.25">
      <c r="A211" s="3"/>
      <c r="C211" s="5"/>
      <c r="D211" s="5"/>
      <c r="E211" s="5"/>
      <c r="F211" s="5"/>
      <c r="G211" s="5"/>
      <c r="H211" s="5"/>
    </row>
    <row r="212" spans="1:8" x14ac:dyDescent="0.25">
      <c r="A212" s="3"/>
      <c r="C212" s="5"/>
      <c r="D212" s="5"/>
      <c r="E212" s="5"/>
      <c r="F212" s="5"/>
      <c r="G212" s="5"/>
      <c r="H212" s="5"/>
    </row>
    <row r="213" spans="1:8" x14ac:dyDescent="0.25">
      <c r="A213" s="3"/>
      <c r="C213" s="5"/>
      <c r="D213" s="5"/>
      <c r="E213" s="5"/>
      <c r="F213" s="5"/>
      <c r="G213" s="5"/>
      <c r="H213" s="5"/>
    </row>
    <row r="214" spans="1:8" x14ac:dyDescent="0.25">
      <c r="A214" s="3"/>
      <c r="C214" s="5"/>
      <c r="D214" s="5"/>
      <c r="E214" s="5"/>
      <c r="F214" s="5"/>
      <c r="G214" s="5"/>
      <c r="H214" s="5"/>
    </row>
    <row r="215" spans="1:8" x14ac:dyDescent="0.25">
      <c r="A215" s="3"/>
      <c r="C215" s="5"/>
      <c r="D215" s="5"/>
      <c r="E215" s="5"/>
      <c r="F215" s="5"/>
      <c r="G215" s="5"/>
      <c r="H215" s="5"/>
    </row>
    <row r="216" spans="1:8" x14ac:dyDescent="0.25">
      <c r="A216" s="3"/>
    </row>
    <row r="217" spans="1:8" x14ac:dyDescent="0.25">
      <c r="A217" s="77"/>
      <c r="B217" s="77"/>
      <c r="C217" s="77"/>
      <c r="D217" s="77"/>
      <c r="E217" s="77"/>
      <c r="F217" s="77"/>
      <c r="G217" s="77"/>
      <c r="H217" s="77"/>
    </row>
    <row r="218" spans="1:8" x14ac:dyDescent="0.25">
      <c r="A218" s="77"/>
      <c r="B218" s="77"/>
      <c r="C218" s="77"/>
      <c r="D218" s="77"/>
      <c r="E218" s="77"/>
      <c r="F218" s="77"/>
      <c r="G218" s="77"/>
      <c r="H218" s="77"/>
    </row>
    <row r="219" spans="1:8" x14ac:dyDescent="0.25">
      <c r="A219" s="78"/>
      <c r="B219" s="78"/>
      <c r="C219" s="78"/>
      <c r="D219" s="78"/>
      <c r="E219" s="78"/>
      <c r="F219" s="78"/>
      <c r="G219" s="78"/>
      <c r="H219" s="78"/>
    </row>
    <row r="220" spans="1:8" x14ac:dyDescent="0.25">
      <c r="A220" s="78"/>
      <c r="B220" s="78"/>
      <c r="C220" s="78"/>
      <c r="D220" s="78"/>
      <c r="E220" s="78"/>
      <c r="F220" s="78"/>
      <c r="G220" s="78"/>
      <c r="H220" s="78"/>
    </row>
    <row r="221" spans="1:8" x14ac:dyDescent="0.25">
      <c r="A221" s="78"/>
      <c r="B221" s="78"/>
      <c r="C221" s="78"/>
      <c r="D221" s="78"/>
      <c r="E221" s="78"/>
      <c r="F221" s="78"/>
      <c r="G221" s="78"/>
      <c r="H221" s="78"/>
    </row>
    <row r="222" spans="1:8" x14ac:dyDescent="0.25">
      <c r="A222" s="78"/>
      <c r="B222" s="78"/>
      <c r="C222" s="78"/>
      <c r="D222" s="78"/>
      <c r="E222" s="78"/>
      <c r="F222" s="78"/>
      <c r="G222" s="78"/>
      <c r="H222" s="78"/>
    </row>
    <row r="223" spans="1:8" x14ac:dyDescent="0.25">
      <c r="A223" s="78"/>
      <c r="B223" s="78"/>
      <c r="C223" s="78"/>
      <c r="D223" s="78"/>
      <c r="E223" s="78"/>
      <c r="F223" s="78"/>
      <c r="G223" s="78"/>
      <c r="H223" s="78"/>
    </row>
    <row r="224" spans="1:8" x14ac:dyDescent="0.25">
      <c r="A224" s="78"/>
      <c r="B224" s="78"/>
      <c r="C224" s="78"/>
      <c r="D224" s="78"/>
      <c r="E224" s="78"/>
      <c r="F224" s="78"/>
      <c r="G224" s="78"/>
      <c r="H224" s="78"/>
    </row>
    <row r="225" spans="1:8" x14ac:dyDescent="0.25">
      <c r="A225" s="78"/>
      <c r="B225" s="78"/>
      <c r="C225" s="78"/>
      <c r="D225" s="78"/>
      <c r="E225" s="78"/>
      <c r="F225" s="78"/>
      <c r="G225" s="78"/>
      <c r="H225" s="78"/>
    </row>
    <row r="226" spans="1:8" x14ac:dyDescent="0.25">
      <c r="A226" s="78"/>
      <c r="B226" s="78"/>
      <c r="C226" s="78"/>
      <c r="D226" s="78"/>
      <c r="E226" s="78"/>
      <c r="F226" s="78"/>
      <c r="G226" s="78"/>
      <c r="H226" s="78"/>
    </row>
    <row r="227" spans="1:8" x14ac:dyDescent="0.25">
      <c r="A227" s="78"/>
      <c r="B227" s="78"/>
      <c r="C227" s="78"/>
      <c r="D227" s="78"/>
      <c r="E227" s="78"/>
      <c r="F227" s="78"/>
      <c r="G227" s="78"/>
      <c r="H227" s="78"/>
    </row>
    <row r="228" spans="1:8" x14ac:dyDescent="0.25">
      <c r="A228" s="78"/>
      <c r="B228" s="78"/>
      <c r="C228" s="78"/>
      <c r="D228" s="78"/>
      <c r="E228" s="78"/>
      <c r="F228" s="78"/>
      <c r="G228" s="78"/>
      <c r="H228" s="78"/>
    </row>
  </sheetData>
  <mergeCells count="2">
    <mergeCell ref="A219:H228"/>
    <mergeCell ref="A217:H21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E5ADA440CE26048ABFA504BA03FF782" ma:contentTypeVersion="0" ma:contentTypeDescription="Create a new document." ma:contentTypeScope="" ma:versionID="3267e8f5633a93b1fed0305942658951">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CB0555-0A83-4820-8324-7297854ED7F2}">
  <ds:schemaRefs>
    <ds:schemaRef ds:uri="http://schemas.microsoft.com/sharepoint/v3/contenttype/forms"/>
  </ds:schemaRefs>
</ds:datastoreItem>
</file>

<file path=customXml/itemProps2.xml><?xml version="1.0" encoding="utf-8"?>
<ds:datastoreItem xmlns:ds="http://schemas.openxmlformats.org/officeDocument/2006/customXml" ds:itemID="{9F606E78-F27C-4449-A171-070E11A296B1}">
  <ds:schemaRefs>
    <ds:schemaRef ds:uri="http://schemas.microsoft.com/office/infopath/2007/PartnerControls"/>
    <ds:schemaRef ds:uri="http://purl.org/dc/term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BE6CE9A7-3DB2-4828-959F-E12365E9AC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Chapter 3</vt:lpstr>
      <vt:lpstr>3.1.1</vt:lpstr>
      <vt:lpstr>3.1.2</vt:lpstr>
      <vt:lpstr>3.1.3</vt:lpstr>
      <vt:lpstr>3.1.4</vt:lpstr>
      <vt:lpstr>3.1.5</vt:lpstr>
      <vt:lpstr>3.1.6</vt:lpstr>
      <vt:lpstr>3.1.7</vt:lpstr>
      <vt:lpstr>3.1.8</vt:lpstr>
      <vt:lpstr>3.2.1</vt:lpstr>
      <vt:lpstr>3.2.2</vt:lpstr>
      <vt:lpstr>3.3.1</vt:lpstr>
      <vt:lpstr>3.3.2</vt:lpstr>
      <vt:lpstr>3.3.3</vt:lpstr>
      <vt:lpstr>3.3.4</vt:lpstr>
    </vt:vector>
  </TitlesOfParts>
  <Manager/>
  <Company>University of California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Susannah</dc:creator>
  <cp:keywords/>
  <dc:description/>
  <cp:lastModifiedBy>aprayag</cp:lastModifiedBy>
  <cp:revision/>
  <dcterms:created xsi:type="dcterms:W3CDTF">2015-07-08T21:46:32Z</dcterms:created>
  <dcterms:modified xsi:type="dcterms:W3CDTF">2019-07-11T20:42:39Z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0x010100BE5ADA440CE26048ABFA504BA03FF782</vt:lpwstr>
  </property>
</Properties>
</file>